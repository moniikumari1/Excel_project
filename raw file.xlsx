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monika python\classic_models_dataset\"/>
    </mc:Choice>
  </mc:AlternateContent>
  <xr:revisionPtr revIDLastSave="0" documentId="13_ncr:1_{3B2E9548-C633-43D9-8438-EE37A09BC6AD}" xr6:coauthVersionLast="47" xr6:coauthVersionMax="47" xr10:uidLastSave="{00000000-0000-0000-0000-000000000000}"/>
  <bookViews>
    <workbookView xWindow="-108" yWindow="-108" windowWidth="23256" windowHeight="12456" activeTab="2" xr2:uid="{5E07397D-35F7-481A-95AB-00F76B130D8C}"/>
  </bookViews>
  <sheets>
    <sheet name="Sheet1" sheetId="2" r:id="rId1"/>
    <sheet name="Amazon_BestSelling_Books" sheetId="1" r:id="rId2"/>
    <sheet name="Sheet2" sheetId="3" r:id="rId3"/>
  </sheets>
  <definedNames>
    <definedName name="_xlchart.v1.0" hidden="1">Sheet1!$M$12:$M$16</definedName>
    <definedName name="_xlchart.v1.1" hidden="1">Sheet1!$N$12:$N$16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" i="2" l="1"/>
  <c r="L33" i="2"/>
  <c r="L31" i="2"/>
  <c r="J36" i="2" a="1"/>
  <c r="J36" i="2" s="1"/>
  <c r="J34" i="2"/>
  <c r="J32" i="2"/>
  <c r="J37" i="2"/>
  <c r="J35" i="2"/>
  <c r="J33" i="2"/>
  <c r="J31" i="2"/>
  <c r="J30" i="2"/>
  <c r="N12" i="2"/>
  <c r="N14" i="2"/>
  <c r="N15" i="2"/>
  <c r="N13" i="2"/>
  <c r="N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<sst xmlns="http://schemas.openxmlformats.org/spreadsheetml/2006/main" count="4123" uniqueCount="1304">
  <si>
    <t>Rank</t>
  </si>
  <si>
    <t>Title</t>
  </si>
  <si>
    <t>Author</t>
  </si>
  <si>
    <t>Category</t>
  </si>
  <si>
    <t>Sub-Genre</t>
  </si>
  <si>
    <t>Format</t>
  </si>
  <si>
    <t>Price (USD)</t>
  </si>
  <si>
    <t>Rating</t>
  </si>
  <si>
    <t>Reviews</t>
  </si>
  <si>
    <t>Weeks on List</t>
  </si>
  <si>
    <t>Publisher</t>
  </si>
  <si>
    <t>Year Published</t>
  </si>
  <si>
    <t>ISBN</t>
  </si>
  <si>
    <t>Amazon BSR</t>
  </si>
  <si>
    <t>Amazon URL</t>
  </si>
  <si>
    <t>The Let Them Theory</t>
  </si>
  <si>
    <t>Mel Robbins</t>
  </si>
  <si>
    <t>Non-Fiction</t>
  </si>
  <si>
    <t>Self-Help</t>
  </si>
  <si>
    <t>Paperback</t>
  </si>
  <si>
    <t>Hay House</t>
  </si>
  <si>
    <t>978-1-13278-859-4</t>
  </si>
  <si>
    <t>View</t>
  </si>
  <si>
    <t>The Dinner Party</t>
  </si>
  <si>
    <t>Freida McFadden</t>
  </si>
  <si>
    <t>Fiction</t>
  </si>
  <si>
    <t>Psychological Thriller</t>
  </si>
  <si>
    <t>Sourcebooks Landmark</t>
  </si>
  <si>
    <t>978-3-76237-716-0</t>
  </si>
  <si>
    <t>Project Hail Mary</t>
  </si>
  <si>
    <t>Andy Weir</t>
  </si>
  <si>
    <t>Science Fiction</t>
  </si>
  <si>
    <t>Ballantine Books</t>
  </si>
  <si>
    <t>978-4-30379-320-5</t>
  </si>
  <si>
    <t>The Correspondent: A Novel</t>
  </si>
  <si>
    <t>Virginia Evans</t>
  </si>
  <si>
    <t>Literary Fiction</t>
  </si>
  <si>
    <t>Hardcover</t>
  </si>
  <si>
    <t>Random House</t>
  </si>
  <si>
    <t>978-6-20328-665-4</t>
  </si>
  <si>
    <t>Atomic Habits</t>
  </si>
  <si>
    <t>James Clear</t>
  </si>
  <si>
    <t>Self-Help / Productivity</t>
  </si>
  <si>
    <t>Avery</t>
  </si>
  <si>
    <t>978-7-93320-954-5</t>
  </si>
  <si>
    <t>A Court of Thorns and Roses</t>
  </si>
  <si>
    <t>Sarah J. Maas</t>
  </si>
  <si>
    <t>Romantasy</t>
  </si>
  <si>
    <t>Bloomsbury Publishing</t>
  </si>
  <si>
    <t>978-6-45382-755-8</t>
  </si>
  <si>
    <t>House of Flame and Shadow</t>
  </si>
  <si>
    <t>978-9-51245-317-7</t>
  </si>
  <si>
    <t>Fourth Wing</t>
  </si>
  <si>
    <t>Rebecca Yarros</t>
  </si>
  <si>
    <t>Entangled: Red Tower Books</t>
  </si>
  <si>
    <t>978-9-62350-470-3</t>
  </si>
  <si>
    <t>The Body Keeps the Score</t>
  </si>
  <si>
    <t>Bessel van der Kolk</t>
  </si>
  <si>
    <t>Psychology / Health</t>
  </si>
  <si>
    <t>Penguin Books</t>
  </si>
  <si>
    <t>978-6-88104-579-8</t>
  </si>
  <si>
    <t>The Anxious Generation</t>
  </si>
  <si>
    <t>Jonathan Haidt</t>
  </si>
  <si>
    <t>Psychology / Society</t>
  </si>
  <si>
    <t>Penguin Press</t>
  </si>
  <si>
    <t>978-7-10425-839-4</t>
  </si>
  <si>
    <t>Dog Man: Big Jim Believes</t>
  </si>
  <si>
    <t>Dav Pilkey</t>
  </si>
  <si>
    <t>Children's / Graphic Novel</t>
  </si>
  <si>
    <t>Graphix</t>
  </si>
  <si>
    <t>978-8-10074-713-5</t>
  </si>
  <si>
    <t>Oh, the Places You'll Go!</t>
  </si>
  <si>
    <t>Dr. Seuss</t>
  </si>
  <si>
    <t>Children's Picture Book</t>
  </si>
  <si>
    <t>978-7-19071-878-8</t>
  </si>
  <si>
    <t>It's Not Her</t>
  </si>
  <si>
    <t>Mary Kubica</t>
  </si>
  <si>
    <t>Park Row</t>
  </si>
  <si>
    <t>978-3-50857-508-5</t>
  </si>
  <si>
    <t>Stress Relief Coloring Book</t>
  </si>
  <si>
    <t>Various Artists</t>
  </si>
  <si>
    <t>Activity / Coloring</t>
  </si>
  <si>
    <t>Independently Published</t>
  </si>
  <si>
    <t>978-9-38864-107-1</t>
  </si>
  <si>
    <t>Dad, I Want to Hear Your Story</t>
  </si>
  <si>
    <t>Jeffrey Mason</t>
  </si>
  <si>
    <t>Gift / Journal</t>
  </si>
  <si>
    <t>Hear Your Story Books</t>
  </si>
  <si>
    <t>978-8-27342-840-9</t>
  </si>
  <si>
    <t>The Hunger Games Boxed Set</t>
  </si>
  <si>
    <t>Suzanne Collins</t>
  </si>
  <si>
    <t>YA Dystopian</t>
  </si>
  <si>
    <t>Scholastic Press</t>
  </si>
  <si>
    <t>978-7-17100-789-1</t>
  </si>
  <si>
    <t>Memorial Days</t>
  </si>
  <si>
    <t>Alysia Abbott</t>
  </si>
  <si>
    <t>Memoir</t>
  </si>
  <si>
    <t>Norton</t>
  </si>
  <si>
    <t>978-2-46509-573-3</t>
  </si>
  <si>
    <t>Atmosphere</t>
  </si>
  <si>
    <t>Taylor Jenkins Reid</t>
  </si>
  <si>
    <t>Historical Fiction</t>
  </si>
  <si>
    <t>978-7-73092-318-6</t>
  </si>
  <si>
    <t>Wild Dark Shore</t>
  </si>
  <si>
    <t>Charlotte McConaghy</t>
  </si>
  <si>
    <t>Climate Fiction</t>
  </si>
  <si>
    <t>Flatiron Books</t>
  </si>
  <si>
    <t>978-7-30289-294-4</t>
  </si>
  <si>
    <t>How To Draw Everything</t>
  </si>
  <si>
    <t>Angela Rizza</t>
  </si>
  <si>
    <t>Art / Activity</t>
  </si>
  <si>
    <t>Walter Foster Jr.</t>
  </si>
  <si>
    <t>978-0-76562-182-2</t>
  </si>
  <si>
    <t>The Housemaid</t>
  </si>
  <si>
    <t>978-4-36772-785-5</t>
  </si>
  <si>
    <t>Dear Debbie</t>
  </si>
  <si>
    <t>978-1-19602-650-3</t>
  </si>
  <si>
    <t>Iron Flame</t>
  </si>
  <si>
    <t>978-4-90173-926-8</t>
  </si>
  <si>
    <t>A Court of Silver Flames</t>
  </si>
  <si>
    <t>978-4-89276-315-5</t>
  </si>
  <si>
    <t>Spare</t>
  </si>
  <si>
    <t>Prince Harry</t>
  </si>
  <si>
    <t>978-5-27146-752-4</t>
  </si>
  <si>
    <t>Never Never</t>
  </si>
  <si>
    <t>Colleen Hoover</t>
  </si>
  <si>
    <t>Contemporary Romance</t>
  </si>
  <si>
    <t>Hoover Ink</t>
  </si>
  <si>
    <t>978-5-86350-665-2</t>
  </si>
  <si>
    <t>It Ends with Us</t>
  </si>
  <si>
    <t>Atria Books</t>
  </si>
  <si>
    <t>978-8-63264-735-2</t>
  </si>
  <si>
    <t>Ugly Love</t>
  </si>
  <si>
    <t>978-1-60140-993-0</t>
  </si>
  <si>
    <t>Verity</t>
  </si>
  <si>
    <t>Grand Central Publishing</t>
  </si>
  <si>
    <t>978-5-46517-985-1</t>
  </si>
  <si>
    <t>978-4-15014-211-9</t>
  </si>
  <si>
    <t>The Midnight Library</t>
  </si>
  <si>
    <t>Matt Haig</t>
  </si>
  <si>
    <t>Viking</t>
  </si>
  <si>
    <t>978-0-78146-925-8</t>
  </si>
  <si>
    <t>Tomorrow, and Tomorrow, and Tomorrow</t>
  </si>
  <si>
    <t>Gabrielle Zevin</t>
  </si>
  <si>
    <t>Knopf</t>
  </si>
  <si>
    <t>978-5-62743-813-4</t>
  </si>
  <si>
    <t>Lessons in Chemistry</t>
  </si>
  <si>
    <t>Bonnie Garmus</t>
  </si>
  <si>
    <t>Doubleday</t>
  </si>
  <si>
    <t>978-4-37549-540-9</t>
  </si>
  <si>
    <t>The Seven Husbands of Evelyn Hugo</t>
  </si>
  <si>
    <t>Washington Square Press</t>
  </si>
  <si>
    <t>978-9-53933-195-3</t>
  </si>
  <si>
    <t>Daisy Jones and the Six</t>
  </si>
  <si>
    <t>978-9-35485-835-6</t>
  </si>
  <si>
    <t>Malibu Rising</t>
  </si>
  <si>
    <t>978-0-83060-355-1</t>
  </si>
  <si>
    <t>The Woman in Me</t>
  </si>
  <si>
    <t>Britney Spears</t>
  </si>
  <si>
    <t>Celebrity Memoir</t>
  </si>
  <si>
    <t>Gallery Books</t>
  </si>
  <si>
    <t>978-2-72216-560-4</t>
  </si>
  <si>
    <t>Greenlights</t>
  </si>
  <si>
    <t>Matthew McConaughey</t>
  </si>
  <si>
    <t>Crown</t>
  </si>
  <si>
    <t>978-5-51904-653-1</t>
  </si>
  <si>
    <t>Think Again</t>
  </si>
  <si>
    <t>Adam Grant</t>
  </si>
  <si>
    <t>Business / Psychology</t>
  </si>
  <si>
    <t>978-7-64496-163-3</t>
  </si>
  <si>
    <t>Outlive</t>
  </si>
  <si>
    <t>Peter Attia</t>
  </si>
  <si>
    <t>Health / Longevity</t>
  </si>
  <si>
    <t>Harmony</t>
  </si>
  <si>
    <t>978-8-89069-325-7</t>
  </si>
  <si>
    <t>The Wager</t>
  </si>
  <si>
    <t>David Grann</t>
  </si>
  <si>
    <t>History / Adventure</t>
  </si>
  <si>
    <t>978-9-80008-127-6</t>
  </si>
  <si>
    <t>Killers of the Flower Moon</t>
  </si>
  <si>
    <t>True Crime / History</t>
  </si>
  <si>
    <t>978-7-52840-445-6</t>
  </si>
  <si>
    <t>The Creative Act</t>
  </si>
  <si>
    <t>Rick Rubin</t>
  </si>
  <si>
    <t>Creativity / Art</t>
  </si>
  <si>
    <t>978-0-14067-353-3</t>
  </si>
  <si>
    <t>Same as Ever</t>
  </si>
  <si>
    <t>Morgan Housel</t>
  </si>
  <si>
    <t>Business / Finance</t>
  </si>
  <si>
    <t>Harriman House</t>
  </si>
  <si>
    <t>978-9-89593-865-1</t>
  </si>
  <si>
    <t>The Psychology of Money</t>
  </si>
  <si>
    <t>978-4-99687-714-1</t>
  </si>
  <si>
    <t>Rich Dad Poor Dad</t>
  </si>
  <si>
    <t>Robert Kiyosaki</t>
  </si>
  <si>
    <t>Personal Finance</t>
  </si>
  <si>
    <t>Plata Publishing</t>
  </si>
  <si>
    <t>978-1-66822-470-7</t>
  </si>
  <si>
    <t>The Subtle Art of Not Giving a F*ck</t>
  </si>
  <si>
    <t>Mark Manson</t>
  </si>
  <si>
    <t>HarperOne</t>
  </si>
  <si>
    <t>978-3-21359-385-7</t>
  </si>
  <si>
    <t>Can't Hurt Me</t>
  </si>
  <si>
    <t>David Goggins</t>
  </si>
  <si>
    <t>Self-Help / Memoir</t>
  </si>
  <si>
    <t>Lioncrest Publishing</t>
  </si>
  <si>
    <t>978-4-54608-386-9</t>
  </si>
  <si>
    <t>Dune</t>
  </si>
  <si>
    <t>Frank Herbert</t>
  </si>
  <si>
    <t>Ace</t>
  </si>
  <si>
    <t>978-7-94659-828-7</t>
  </si>
  <si>
    <t>Ender's Game</t>
  </si>
  <si>
    <t>Orson Scott Card</t>
  </si>
  <si>
    <t>Tor Books</t>
  </si>
  <si>
    <t>978-8-55056-535-8</t>
  </si>
  <si>
    <t>Into Door</t>
  </si>
  <si>
    <t>Gabor MatÃ©</t>
  </si>
  <si>
    <t>978-3-48829-332-5</t>
  </si>
  <si>
    <t>The Game and Rain</t>
  </si>
  <si>
    <t>Erik Larson</t>
  </si>
  <si>
    <t>St. Martin's Press</t>
  </si>
  <si>
    <t>978-1-18564-510-7</t>
  </si>
  <si>
    <t>Last Ice</t>
  </si>
  <si>
    <t>Robin DiAngelo</t>
  </si>
  <si>
    <t>Science / Nature</t>
  </si>
  <si>
    <t>978-3-91987-316-4</t>
  </si>
  <si>
    <t>Golden Deal</t>
  </si>
  <si>
    <t>Greg Bear</t>
  </si>
  <si>
    <t>Middle Grade</t>
  </si>
  <si>
    <t>978-9-96662-923-3</t>
  </si>
  <si>
    <t>Across Map</t>
  </si>
  <si>
    <t>Doris Kearns Goodwin</t>
  </si>
  <si>
    <t>Cooking / Food</t>
  </si>
  <si>
    <t>978-5-89129-356-0</t>
  </si>
  <si>
    <t>Nurse Rising</t>
  </si>
  <si>
    <t>Malcolm Gladwell</t>
  </si>
  <si>
    <t>Spirituality / Religion</t>
  </si>
  <si>
    <t>978-5-63955-810-7</t>
  </si>
  <si>
    <t>Valley and Thunder</t>
  </si>
  <si>
    <t>Gloria Steinem</t>
  </si>
  <si>
    <t>978-4-81987-234-4</t>
  </si>
  <si>
    <t>Chasing Sky</t>
  </si>
  <si>
    <t>Tamora Pierce</t>
  </si>
  <si>
    <t>Audiobook</t>
  </si>
  <si>
    <t>978-8-45838-525-7</t>
  </si>
  <si>
    <t>The Knight and Bone</t>
  </si>
  <si>
    <t>Liane Moriarty</t>
  </si>
  <si>
    <t>Kindle Edition</t>
  </si>
  <si>
    <t>978-5-82340-881-8</t>
  </si>
  <si>
    <t>The Choice and Rain</t>
  </si>
  <si>
    <t>978-1-78937-567-0</t>
  </si>
  <si>
    <t>Where Beauty</t>
  </si>
  <si>
    <t>Pema ChÃ¶drÃ¶n</t>
  </si>
  <si>
    <t>978-1-68153-270-4</t>
  </si>
  <si>
    <t>The Ocean</t>
  </si>
  <si>
    <t>Carmen Maria Machado</t>
  </si>
  <si>
    <t>978-3-70443-753-4</t>
  </si>
  <si>
    <t>Across Game</t>
  </si>
  <si>
    <t>Michael J. Sullivan</t>
  </si>
  <si>
    <t>Graphic Novel</t>
  </si>
  <si>
    <t>Board Book</t>
  </si>
  <si>
    <t>Howard Books</t>
  </si>
  <si>
    <t>978-4-12875-949-6</t>
  </si>
  <si>
    <t>Hero Saga</t>
  </si>
  <si>
    <t>Brad Thor</t>
  </si>
  <si>
    <t>978-5-64460-279-3</t>
  </si>
  <si>
    <t>The Grace Awakening</t>
  </si>
  <si>
    <t>Lee Child</t>
  </si>
  <si>
    <t>Dark Romance</t>
  </si>
  <si>
    <t>978-0-44663-649-1</t>
  </si>
  <si>
    <t>The Villain Legacy</t>
  </si>
  <si>
    <t>Little, Brown</t>
  </si>
  <si>
    <t>978-1-22739-340-8</t>
  </si>
  <si>
    <t>Deal Reckoning</t>
  </si>
  <si>
    <t>978-4-34878-225-7</t>
  </si>
  <si>
    <t>Throne and Lightning</t>
  </si>
  <si>
    <t>Raina Telgemeier</t>
  </si>
  <si>
    <t>Space Opera</t>
  </si>
  <si>
    <t>978-2-80807-356-2</t>
  </si>
  <si>
    <t>The Throne of Ice</t>
  </si>
  <si>
    <t>Nassim Taleb</t>
  </si>
  <si>
    <t>Chronicle Books</t>
  </si>
  <si>
    <t>978-0-96363-633-4</t>
  </si>
  <si>
    <t>The Mind Rising</t>
  </si>
  <si>
    <t>V.E. Schwab</t>
  </si>
  <si>
    <t>Fantasy</t>
  </si>
  <si>
    <t>Workman Publishing</t>
  </si>
  <si>
    <t>978-8-48652-564-8</t>
  </si>
  <si>
    <t>The Letter Rising</t>
  </si>
  <si>
    <t>Ta-Nehisi Coates</t>
  </si>
  <si>
    <t>Hachette Book Group</t>
  </si>
  <si>
    <t>978-1-66606-198-5</t>
  </si>
  <si>
    <t>Quiet Clock</t>
  </si>
  <si>
    <t>978-8-58176-217-4</t>
  </si>
  <si>
    <t>The Knight Fallen</t>
  </si>
  <si>
    <t>Joe Abercrombie</t>
  </si>
  <si>
    <t>Crime / Detective</t>
  </si>
  <si>
    <t>978-6-65028-564-5</t>
  </si>
  <si>
    <t>The Hunter of Fire</t>
  </si>
  <si>
    <t>Productivity</t>
  </si>
  <si>
    <t>978-4-98895-794-9</t>
  </si>
  <si>
    <t>How Warrior</t>
  </si>
  <si>
    <t>Cal Newport</t>
  </si>
  <si>
    <t>Convergent Books</t>
  </si>
  <si>
    <t>978-5-19447-506-0</t>
  </si>
  <si>
    <t>The Fire of Roses</t>
  </si>
  <si>
    <t>978-6-50668-863-5</t>
  </si>
  <si>
    <t>The Plan Reborn</t>
  </si>
  <si>
    <t>Jodi Picoult</t>
  </si>
  <si>
    <t>978-9-85952-559-9</t>
  </si>
  <si>
    <t>The Mirror of Fire</t>
  </si>
  <si>
    <t>Politics / Society</t>
  </si>
  <si>
    <t>Macmillan Publishers</t>
  </si>
  <si>
    <t>978-1-90610-708-8</t>
  </si>
  <si>
    <t>Game Reimagined</t>
  </si>
  <si>
    <t>Piers Anthony</t>
  </si>
  <si>
    <t>978-5-47079-496-6</t>
  </si>
  <si>
    <t>The Queen and Lightning</t>
  </si>
  <si>
    <t>Seth Godin</t>
  </si>
  <si>
    <t>978-9-21104-417-8</t>
  </si>
  <si>
    <t>Brave Earth</t>
  </si>
  <si>
    <t>Publications International</t>
  </si>
  <si>
    <t>Baker Books</t>
  </si>
  <si>
    <t>978-8-14947-777-5</t>
  </si>
  <si>
    <t>The Soldier and Snow</t>
  </si>
  <si>
    <t>Daniel Pink</t>
  </si>
  <si>
    <t>WaterBrook</t>
  </si>
  <si>
    <t>978-9-67749-572-4</t>
  </si>
  <si>
    <t>The Villain Forever Changed</t>
  </si>
  <si>
    <t>978-7-55820-127-6</t>
  </si>
  <si>
    <t>Shadow Mirror</t>
  </si>
  <si>
    <t>978-9-10688-181-0</t>
  </si>
  <si>
    <t>The Map Method</t>
  </si>
  <si>
    <t>bell hooks</t>
  </si>
  <si>
    <t>Biography</t>
  </si>
  <si>
    <t>Zondervan</t>
  </si>
  <si>
    <t>978-2-48177-539-0</t>
  </si>
  <si>
    <t>The Book Reimagined</t>
  </si>
  <si>
    <t>Tahereh Mafi</t>
  </si>
  <si>
    <t>978-5-18855-453-3</t>
  </si>
  <si>
    <t>Below Deal</t>
  </si>
  <si>
    <t>Kim Stanley Robinson</t>
  </si>
  <si>
    <t>978-8-62196-934-8</t>
  </si>
  <si>
    <t>The Shadow Legacy</t>
  </si>
  <si>
    <t>Demi Moore</t>
  </si>
  <si>
    <t>Scribner</t>
  </si>
  <si>
    <t>978-4-20828-844-6</t>
  </si>
  <si>
    <t>The Storm of Shadows</t>
  </si>
  <si>
    <t>Bob Woodward</t>
  </si>
  <si>
    <t>Simon &amp; Schuster</t>
  </si>
  <si>
    <t>978-1-97973-752-6</t>
  </si>
  <si>
    <t>The Hope and Thunder</t>
  </si>
  <si>
    <t>Ryan Holiday</t>
  </si>
  <si>
    <t>Riverhead Books</t>
  </si>
  <si>
    <t>978-2-79397-475-6</t>
  </si>
  <si>
    <t>The Day Rising</t>
  </si>
  <si>
    <t>978-7-21506-929-5</t>
  </si>
  <si>
    <t>The Mountain Saga</t>
  </si>
  <si>
    <t>Dean Koontz</t>
  </si>
  <si>
    <t>YA Romance</t>
  </si>
  <si>
    <t>Vintage</t>
  </si>
  <si>
    <t>978-2-90209-188-1</t>
  </si>
  <si>
    <t>Into Love</t>
  </si>
  <si>
    <t>Vince Flynn</t>
  </si>
  <si>
    <t>978-8-30056-411-2</t>
  </si>
  <si>
    <t>Throne of Thorns</t>
  </si>
  <si>
    <t>Eckhart Tolle</t>
  </si>
  <si>
    <t>978-9-89316-445-9</t>
  </si>
  <si>
    <t>Land Revealed</t>
  </si>
  <si>
    <t>Peter F. Hamilton</t>
  </si>
  <si>
    <t>Urban Fantasy</t>
  </si>
  <si>
    <t>978-9-28830-420-5</t>
  </si>
  <si>
    <t>City Chronicles</t>
  </si>
  <si>
    <t>Patrick Rothfuss</t>
  </si>
  <si>
    <t>978-5-85718-838-5</t>
  </si>
  <si>
    <t>Nurse Revealed</t>
  </si>
  <si>
    <t>Emily St. John Mandel</t>
  </si>
  <si>
    <t>Anchor Books</t>
  </si>
  <si>
    <t>978-0-24089-541-2</t>
  </si>
  <si>
    <t>Sky and Bone</t>
  </si>
  <si>
    <t>Ibram X. Kendi</t>
  </si>
  <si>
    <t>978-1-61629-482-5</t>
  </si>
  <si>
    <t>The Key Undone</t>
  </si>
  <si>
    <t>978-4-87820-444-8</t>
  </si>
  <si>
    <t>The Mind and Bone</t>
  </si>
  <si>
    <t>Joyce Meyer</t>
  </si>
  <si>
    <t>Thomas Nelson</t>
  </si>
  <si>
    <t>978-9-59832-251-3</t>
  </si>
  <si>
    <t>Deal Untold</t>
  </si>
  <si>
    <t>978-7-79878-450-8</t>
  </si>
  <si>
    <t>Sky Unleashed</t>
  </si>
  <si>
    <t>Barack Obama</t>
  </si>
  <si>
    <t>978-9-98686-656-6</t>
  </si>
  <si>
    <t>The River of Glass</t>
  </si>
  <si>
    <t>Matthew Stover</t>
  </si>
  <si>
    <t>978-3-93616-338-0</t>
  </si>
  <si>
    <t>Doctor Approach</t>
  </si>
  <si>
    <t>Octavia Butler</t>
  </si>
  <si>
    <t>978-0-32946-527-2</t>
  </si>
  <si>
    <t>Beauty Fallen</t>
  </si>
  <si>
    <t>978-7-94972-363-2</t>
  </si>
  <si>
    <t>Beneath Hero</t>
  </si>
  <si>
    <t>Patricia A. McKillip</t>
  </si>
  <si>
    <t>IVP Books</t>
  </si>
  <si>
    <t>978-4-53204-409-9</t>
  </si>
  <si>
    <t>Hope Reckoning</t>
  </si>
  <si>
    <t>James Dashner</t>
  </si>
  <si>
    <t>978-8-71712-875-8</t>
  </si>
  <si>
    <t>The Night Code</t>
  </si>
  <si>
    <t>Horror</t>
  </si>
  <si>
    <t>978-3-86434-600-1</t>
  </si>
  <si>
    <t>Deal Method</t>
  </si>
  <si>
    <t>Paranormal Romance</t>
  </si>
  <si>
    <t>978-7-14159-393-6</t>
  </si>
  <si>
    <t>The Hate Forever Changed</t>
  </si>
  <si>
    <t>Alan Dean Foster</t>
  </si>
  <si>
    <t>978-4-70686-789-8</t>
  </si>
  <si>
    <t>Broken Hate</t>
  </si>
  <si>
    <t>978-7-40715-652-3</t>
  </si>
  <si>
    <t>Fierce Teacher</t>
  </si>
  <si>
    <t>978-7-16145-452-6</t>
  </si>
  <si>
    <t>The Light of Ice</t>
  </si>
  <si>
    <t>978-1-68954-967-5</t>
  </si>
  <si>
    <t>Last Mirror</t>
  </si>
  <si>
    <t>978-7-41797-812-9</t>
  </si>
  <si>
    <t>Before Book</t>
  </si>
  <si>
    <t>HarperCollins</t>
  </si>
  <si>
    <t>978-9-39002-859-2</t>
  </si>
  <si>
    <t>Night Saga</t>
  </si>
  <si>
    <t>Michael Pollan</t>
  </si>
  <si>
    <t>978-2-56160-273-2</t>
  </si>
  <si>
    <t>The Strength Legacy</t>
  </si>
  <si>
    <t>978-8-82305-521-0</t>
  </si>
  <si>
    <t>Across Moon</t>
  </si>
  <si>
    <t>Kelly Link</t>
  </si>
  <si>
    <t>978-6-70161-678-3</t>
  </si>
  <si>
    <t>How Strength</t>
  </si>
  <si>
    <t>Mercedes Lackey</t>
  </si>
  <si>
    <t>978-3-37710-988-9</t>
  </si>
  <si>
    <t>Prince of Ice</t>
  </si>
  <si>
    <t>Cozy Mystery</t>
  </si>
  <si>
    <t>978-6-28343-909-1</t>
  </si>
  <si>
    <t>Brave Game</t>
  </si>
  <si>
    <t>978-4-42302-830-1</t>
  </si>
  <si>
    <t>After Knight</t>
  </si>
  <si>
    <t>N.K. Jemisin</t>
  </si>
  <si>
    <t>978-1-13442-191-5</t>
  </si>
  <si>
    <t>The Message and Bone</t>
  </si>
  <si>
    <t>978-1-57333-357-3</t>
  </si>
  <si>
    <t>Beauty Approach</t>
  </si>
  <si>
    <t>Isabel Wilkerson</t>
  </si>
  <si>
    <t>978-3-72784-421-2</t>
  </si>
  <si>
    <t>Shadow Captain</t>
  </si>
  <si>
    <t>978-7-28242-748-4</t>
  </si>
  <si>
    <t>The Deal Theory</t>
  </si>
  <si>
    <t>978-5-31802-762-9</t>
  </si>
  <si>
    <t>Out of Sky</t>
  </si>
  <si>
    <t>978-7-23703-402-6</t>
  </si>
  <si>
    <t>The Mirror and Snow</t>
  </si>
  <si>
    <t>978-1-98754-919-2</t>
  </si>
  <si>
    <t>The Dream Code</t>
  </si>
  <si>
    <t>John Grisham</t>
  </si>
  <si>
    <t>978-1-85674-204-8</t>
  </si>
  <si>
    <t>Wild Sky</t>
  </si>
  <si>
    <t>Andrew Huberman</t>
  </si>
  <si>
    <t>978-2-51049-220-3</t>
  </si>
  <si>
    <t>The City Method</t>
  </si>
  <si>
    <t>978-7-27895-299-6</t>
  </si>
  <si>
    <t>Within Window</t>
  </si>
  <si>
    <t>Neil Gaiman</t>
  </si>
  <si>
    <t>NavPress</t>
  </si>
  <si>
    <t>978-7-82053-623-1</t>
  </si>
  <si>
    <t>The Code and Lightning</t>
  </si>
  <si>
    <t>Morgan Rhodes</t>
  </si>
  <si>
    <t>978-9-55957-981-9</t>
  </si>
  <si>
    <t>Hope and Rain</t>
  </si>
  <si>
    <t>978-6-17770-383-2</t>
  </si>
  <si>
    <t>Doctor Never Forgotten</t>
  </si>
  <si>
    <t>John Green</t>
  </si>
  <si>
    <t>978-1-70089-750-5</t>
  </si>
  <si>
    <t>Land Undone</t>
  </si>
  <si>
    <t>978-7-69836-100-6</t>
  </si>
  <si>
    <t>Hidden World</t>
  </si>
  <si>
    <t>978-9-39647-631-7</t>
  </si>
  <si>
    <t>The Fire Framework</t>
  </si>
  <si>
    <t>978-2-18966-643-9</t>
  </si>
  <si>
    <t>Truth Saga</t>
  </si>
  <si>
    <t>978-9-89638-391-0</t>
  </si>
  <si>
    <t>River of Roses</t>
  </si>
  <si>
    <t>Tony Robbins</t>
  </si>
  <si>
    <t>978-6-84498-530-5</t>
  </si>
  <si>
    <t>Before Game</t>
  </si>
  <si>
    <t>Trevor Noah</t>
  </si>
  <si>
    <t>978-8-36633-927-2</t>
  </si>
  <si>
    <t>The Grace and Snow</t>
  </si>
  <si>
    <t>Oprah Winfrey</t>
  </si>
  <si>
    <t>978-2-11487-267-7</t>
  </si>
  <si>
    <t>Mind Always Watching</t>
  </si>
  <si>
    <t>978-5-30618-361-1</t>
  </si>
  <si>
    <t>Map Revealed</t>
  </si>
  <si>
    <t>978-3-64559-837-5</t>
  </si>
  <si>
    <t>Dream Legacy</t>
  </si>
  <si>
    <t>978-9-41795-575-5</t>
  </si>
  <si>
    <t>Sun of Fire</t>
  </si>
  <si>
    <t>Jack Reacher</t>
  </si>
  <si>
    <t>978-3-65026-603-0</t>
  </si>
  <si>
    <t>Iron Sea</t>
  </si>
  <si>
    <t>Lauren Groff</t>
  </si>
  <si>
    <t>978-5-51688-563-4</t>
  </si>
  <si>
    <t>Into Hope</t>
  </si>
  <si>
    <t>Martin Seligman</t>
  </si>
  <si>
    <t>Business / Leadership</t>
  </si>
  <si>
    <t>978-4-89076-141-3</t>
  </si>
  <si>
    <t>Deal of Thorns</t>
  </si>
  <si>
    <t>Thich Nhat Hanh</t>
  </si>
  <si>
    <t>978-2-35969-943-6</t>
  </si>
  <si>
    <t>The Shadow Unbound</t>
  </si>
  <si>
    <t>978-0-60165-799-6</t>
  </si>
  <si>
    <t>The Valley Revisited</t>
  </si>
  <si>
    <t>Brandon Sanderson</t>
  </si>
  <si>
    <t>978-0-60134-900-5</t>
  </si>
  <si>
    <t>The Detective Revisited</t>
  </si>
  <si>
    <t>Robin McKinley</t>
  </si>
  <si>
    <t>978-3-44934-646-0</t>
  </si>
  <si>
    <t>Knight of Ice</t>
  </si>
  <si>
    <t>Jon Meacham</t>
  </si>
  <si>
    <t>978-9-36406-925-2</t>
  </si>
  <si>
    <t>Code Revisited</t>
  </si>
  <si>
    <t>978-5-32833-824-8</t>
  </si>
  <si>
    <t>The Sun Reimagined</t>
  </si>
  <si>
    <t>Paul Tremblay</t>
  </si>
  <si>
    <t>978-1-41194-455-5</t>
  </si>
  <si>
    <t>Map Always Watching</t>
  </si>
  <si>
    <t>978-5-81568-484-1</t>
  </si>
  <si>
    <t>Storm of Ice</t>
  </si>
  <si>
    <t>978-7-14062-541-2</t>
  </si>
  <si>
    <t>The Mountain and Bone</t>
  </si>
  <si>
    <t>978-0-66047-189-4</t>
  </si>
  <si>
    <t>Silent Key</t>
  </si>
  <si>
    <t>Parenting</t>
  </si>
  <si>
    <t>978-7-15848-369-7</t>
  </si>
  <si>
    <t>Saving Home</t>
  </si>
  <si>
    <t>Louise Hay</t>
  </si>
  <si>
    <t>978-7-49171-180-6</t>
  </si>
  <si>
    <t>Silent Home</t>
  </si>
  <si>
    <t>978-1-60868-669-6</t>
  </si>
  <si>
    <t>The Ice Unbound</t>
  </si>
  <si>
    <t>Simon Sinek</t>
  </si>
  <si>
    <t>978-6-95824-597-9</t>
  </si>
  <si>
    <t>Fierce Signal</t>
  </si>
  <si>
    <t>978-2-49384-861-7</t>
  </si>
  <si>
    <t>Deep Game</t>
  </si>
  <si>
    <t>978-0-32772-297-3</t>
  </si>
  <si>
    <t>Saving Lie</t>
  </si>
  <si>
    <t>978-1-47364-128-6</t>
  </si>
  <si>
    <t>Deep Beast</t>
  </si>
  <si>
    <t>Hernan Diaz</t>
  </si>
  <si>
    <t>978-4-65549-485-5</t>
  </si>
  <si>
    <t>Where Message</t>
  </si>
  <si>
    <t>978-4-34688-253-8</t>
  </si>
  <si>
    <t>The Beast and Snow</t>
  </si>
  <si>
    <t>978-8-93665-903-7</t>
  </si>
  <si>
    <t>The Plan of Roses</t>
  </si>
  <si>
    <t>978-7-25437-581-0</t>
  </si>
  <si>
    <t>Warrior of Ice</t>
  </si>
  <si>
    <t>978-2-20592-599-5</t>
  </si>
  <si>
    <t>Love Revisited</t>
  </si>
  <si>
    <t>Jeannette Walls</t>
  </si>
  <si>
    <t>True Crime</t>
  </si>
  <si>
    <t>978-8-34979-118-0</t>
  </si>
  <si>
    <t>Nurse of Shadows</t>
  </si>
  <si>
    <t>Cinda Williams Chima</t>
  </si>
  <si>
    <t>978-5-74248-467-3</t>
  </si>
  <si>
    <t>The River and Rain</t>
  </si>
  <si>
    <t>978-1-64627-554-6</t>
  </si>
  <si>
    <t>The Storm of Fire</t>
  </si>
  <si>
    <t>978-4-78569-306-5</t>
  </si>
  <si>
    <t>Storm War</t>
  </si>
  <si>
    <t>978-7-48800-370-7</t>
  </si>
  <si>
    <t>Power Reclaimed</t>
  </si>
  <si>
    <t>978-5-33969-216-6</t>
  </si>
  <si>
    <t>First Choice</t>
  </si>
  <si>
    <t>978-7-73979-215-6</t>
  </si>
  <si>
    <t>City and Snow</t>
  </si>
  <si>
    <t>978-0-11526-758-2</t>
  </si>
  <si>
    <t>The Crown Rising</t>
  </si>
  <si>
    <t>978-1-75191-863-0</t>
  </si>
  <si>
    <t>The Kingdom Reimagined</t>
  </si>
  <si>
    <t>978-5-69314-216-1</t>
  </si>
  <si>
    <t>Letter and Thunder</t>
  </si>
  <si>
    <t>Daniel Kahneman</t>
  </si>
  <si>
    <t>History</t>
  </si>
  <si>
    <t>978-5-24125-875-6</t>
  </si>
  <si>
    <t>Town Reclaimed</t>
  </si>
  <si>
    <t>various</t>
  </si>
  <si>
    <t>978-2-23573-496-9</t>
  </si>
  <si>
    <t>Into Choice</t>
  </si>
  <si>
    <t>Rhonda Byrne</t>
  </si>
  <si>
    <t>978-9-48086-803-5</t>
  </si>
  <si>
    <t>Sky of Ice</t>
  </si>
  <si>
    <t>Sabaa Tahir</t>
  </si>
  <si>
    <t>978-0-36201-373-2</t>
  </si>
  <si>
    <t>Between Garden</t>
  </si>
  <si>
    <t>Matthew Walker</t>
  </si>
  <si>
    <t>978-5-82368-155-0</t>
  </si>
  <si>
    <t>The Earth of Fire</t>
  </si>
  <si>
    <t>978-2-86544-966-4</t>
  </si>
  <si>
    <t>Plan Saga</t>
  </si>
  <si>
    <t>Brent Weeks</t>
  </si>
  <si>
    <t>978-5-53393-469-4</t>
  </si>
  <si>
    <t>The Beauty and Bone</t>
  </si>
  <si>
    <t>978-5-77411-922-8</t>
  </si>
  <si>
    <t>Where Ice</t>
  </si>
  <si>
    <t>978-2-13113-570-5</t>
  </si>
  <si>
    <t>Soul Unleashed</t>
  </si>
  <si>
    <t>978-9-15965-817-1</t>
  </si>
  <si>
    <t>The Map</t>
  </si>
  <si>
    <t>Robin Hobb</t>
  </si>
  <si>
    <t>978-5-11461-666-8</t>
  </si>
  <si>
    <t>The Star Unleashed</t>
  </si>
  <si>
    <t>Susanna Clarke</t>
  </si>
  <si>
    <t>978-9-17128-971-8</t>
  </si>
  <si>
    <t>Found Hope</t>
  </si>
  <si>
    <t>978-9-84299-473-5</t>
  </si>
  <si>
    <t>A Town</t>
  </si>
  <si>
    <t>Anne McCaffrey</t>
  </si>
  <si>
    <t>978-8-35746-369-1</t>
  </si>
  <si>
    <t>House and Lightning</t>
  </si>
  <si>
    <t>Mary Karr</t>
  </si>
  <si>
    <t>978-5-75820-110-3</t>
  </si>
  <si>
    <t>Knight of Glass</t>
  </si>
  <si>
    <t>Nicholas Sparks</t>
  </si>
  <si>
    <t>978-6-71561-565-0</t>
  </si>
  <si>
    <t>Burning Deal</t>
  </si>
  <si>
    <t>Cassandra Clare</t>
  </si>
  <si>
    <t>978-0-75776-242-7</t>
  </si>
  <si>
    <t>The Sea Chronicles</t>
  </si>
  <si>
    <t>978-0-41938-144-2</t>
  </si>
  <si>
    <t>Across King</t>
  </si>
  <si>
    <t>Terry Pratchett</t>
  </si>
  <si>
    <t>Algonquin Books</t>
  </si>
  <si>
    <t>978-2-91685-775-8</t>
  </si>
  <si>
    <t>The Land Reckoning</t>
  </si>
  <si>
    <t>978-0-79655-615-1</t>
  </si>
  <si>
    <t>The Window Method</t>
  </si>
  <si>
    <t>Viola Davis</t>
  </si>
  <si>
    <t>978-7-40475-979-1</t>
  </si>
  <si>
    <t>The Clock System</t>
  </si>
  <si>
    <t>Tara Westover</t>
  </si>
  <si>
    <t>978-6-84012-474-9</t>
  </si>
  <si>
    <t>The Game of Stars</t>
  </si>
  <si>
    <t>Michael Connelly</t>
  </si>
  <si>
    <t>978-9-99727-823-0</t>
  </si>
  <si>
    <t>The Empire and Bone</t>
  </si>
  <si>
    <t>978-9-17531-892-2</t>
  </si>
  <si>
    <t>The Clock Awakening</t>
  </si>
  <si>
    <t>Ursula K. Le Guin</t>
  </si>
  <si>
    <t>978-3-77861-115-1</t>
  </si>
  <si>
    <t>Spy Fallen</t>
  </si>
  <si>
    <t>Ben Greenfield</t>
  </si>
  <si>
    <t>Putnam</t>
  </si>
  <si>
    <t>978-4-80504-932-9</t>
  </si>
  <si>
    <t>King of Roses</t>
  </si>
  <si>
    <t>Carol Dweck</t>
  </si>
  <si>
    <t>978-3-47655-195-6</t>
  </si>
  <si>
    <t>Voice Approach</t>
  </si>
  <si>
    <t>978-9-56665-259-1</t>
  </si>
  <si>
    <t>Home Code</t>
  </si>
  <si>
    <t>Walter Isaacson</t>
  </si>
  <si>
    <t>978-8-55519-503-2</t>
  </si>
  <si>
    <t>Strength Framework</t>
  </si>
  <si>
    <t>Bryan Johnson</t>
  </si>
  <si>
    <t>978-6-37594-529-5</t>
  </si>
  <si>
    <t>Game Theory</t>
  </si>
  <si>
    <t>978-5-73782-407-4</t>
  </si>
  <si>
    <t>The Choice Legacy</t>
  </si>
  <si>
    <t>978-5-99074-720-3</t>
  </si>
  <si>
    <t>Broken Power</t>
  </si>
  <si>
    <t>978-1-31233-451-3</t>
  </si>
  <si>
    <t>River Rising</t>
  </si>
  <si>
    <t>James Patterson</t>
  </si>
  <si>
    <t>978-2-62041-205-1</t>
  </si>
  <si>
    <t>Window Unbound</t>
  </si>
  <si>
    <t>Stephen King</t>
  </si>
  <si>
    <t>978-5-52624-984-7</t>
  </si>
  <si>
    <t>Sea Revisited</t>
  </si>
  <si>
    <t>978-2-49789-110-0</t>
  </si>
  <si>
    <t>The Fear Saga</t>
  </si>
  <si>
    <t>978-6-59592-325-4</t>
  </si>
  <si>
    <t>Always Weakness</t>
  </si>
  <si>
    <t>Nnedi Ofofor</t>
  </si>
  <si>
    <t>978-0-29942-150-8</t>
  </si>
  <si>
    <t>The Shadow and Bone</t>
  </si>
  <si>
    <t>978-2-17345-372-6</t>
  </si>
  <si>
    <t>Home and Thunder</t>
  </si>
  <si>
    <t>978-5-30789-744-0</t>
  </si>
  <si>
    <t>Fire City</t>
  </si>
  <si>
    <t>978-7-88146-258-5</t>
  </si>
  <si>
    <t>Faith of Fire</t>
  </si>
  <si>
    <t>978-3-12798-805-6</t>
  </si>
  <si>
    <t>Court Revealed</t>
  </si>
  <si>
    <t>978-4-80989-475-7</t>
  </si>
  <si>
    <t>Iron Heart</t>
  </si>
  <si>
    <t>978-0-27009-282-0</t>
  </si>
  <si>
    <t>The Star Undone</t>
  </si>
  <si>
    <t>978-5-17641-943-9</t>
  </si>
  <si>
    <t>The Captain of Glass</t>
  </si>
  <si>
    <t>Robert Sapolsky</t>
  </si>
  <si>
    <t>978-1-93705-690-5</t>
  </si>
  <si>
    <t>Faith Revealed</t>
  </si>
  <si>
    <t>978-3-83812-658-3</t>
  </si>
  <si>
    <t>Earth of Glass</t>
  </si>
  <si>
    <t>Gillian Flynn</t>
  </si>
  <si>
    <t>978-4-82569-623-8</t>
  </si>
  <si>
    <t>Map Reclaimed</t>
  </si>
  <si>
    <t>978-9-22499-709-4</t>
  </si>
  <si>
    <t>Map Chronicles</t>
  </si>
  <si>
    <t>Paula Hawkins</t>
  </si>
  <si>
    <t>978-3-30079-151-6</t>
  </si>
  <si>
    <t>The Clock Saga</t>
  </si>
  <si>
    <t>978-8-35966-599-6</t>
  </si>
  <si>
    <t>When Hate</t>
  </si>
  <si>
    <t>978-5-90769-941-7</t>
  </si>
  <si>
    <t>Court Reclaimed</t>
  </si>
  <si>
    <t>978-4-81932-594-9</t>
  </si>
  <si>
    <t>House of Glass</t>
  </si>
  <si>
    <t>978-0-48337-988-6</t>
  </si>
  <si>
    <t>First Detective</t>
  </si>
  <si>
    <t>Nora Roberts</t>
  </si>
  <si>
    <t>978-4-40959-613-4</t>
  </si>
  <si>
    <t>Beneath Sea</t>
  </si>
  <si>
    <t>Arianna Huffington</t>
  </si>
  <si>
    <t>978-4-89346-437-7</t>
  </si>
  <si>
    <t>Game Unbound</t>
  </si>
  <si>
    <t>978-6-63903-410-7</t>
  </si>
  <si>
    <t>The Storm and Bone</t>
  </si>
  <si>
    <t>978-5-34114-972-6</t>
  </si>
  <si>
    <t>The Map Reckoning</t>
  </si>
  <si>
    <t>Victoria Aveyard</t>
  </si>
  <si>
    <t>978-9-59856-837-5</t>
  </si>
  <si>
    <t>Weakness Code</t>
  </si>
  <si>
    <t>978-3-48165-550-6</t>
  </si>
  <si>
    <t>Found Choice</t>
  </si>
  <si>
    <t>978-7-87373-829-3</t>
  </si>
  <si>
    <t>Game Method</t>
  </si>
  <si>
    <t>978-2-31249-989-2</t>
  </si>
  <si>
    <t>The Kingdom Forever Changed</t>
  </si>
  <si>
    <t>978-7-69472-519-7</t>
  </si>
  <si>
    <t>Against Message</t>
  </si>
  <si>
    <t>978-1-64651-282-2</t>
  </si>
  <si>
    <t>Saving Deal</t>
  </si>
  <si>
    <t>978-6-78766-314-3</t>
  </si>
  <si>
    <t>Beyond World</t>
  </si>
  <si>
    <t>Rick Warren</t>
  </si>
  <si>
    <t>978-3-48074-298-0</t>
  </si>
  <si>
    <t>Hidden King</t>
  </si>
  <si>
    <t>978-6-84569-730-0</t>
  </si>
  <si>
    <t>Princess of Roses</t>
  </si>
  <si>
    <t>978-0-37297-691-5</t>
  </si>
  <si>
    <t>The Crown and Bone</t>
  </si>
  <si>
    <t>978-3-78825-409-2</t>
  </si>
  <si>
    <t>The Home and Thunder</t>
  </si>
  <si>
    <t>978-2-36894-841-0</t>
  </si>
  <si>
    <t>Dark Empire</t>
  </si>
  <si>
    <t>978-7-97965-220-4</t>
  </si>
  <si>
    <t>The Sun Blueprint</t>
  </si>
  <si>
    <t>978-0-71700-791-0</t>
  </si>
  <si>
    <t>Code Untold</t>
  </si>
  <si>
    <t>Tim Ferriss</t>
  </si>
  <si>
    <t>978-7-71675-337-3</t>
  </si>
  <si>
    <t>Soul Reborn</t>
  </si>
  <si>
    <t>J.K. Rowling</t>
  </si>
  <si>
    <t>978-2-76577-205-6</t>
  </si>
  <si>
    <t>Map Approach</t>
  </si>
  <si>
    <t>978-3-32686-778-1</t>
  </si>
  <si>
    <t>Game of Stars</t>
  </si>
  <si>
    <t>978-0-21866-322-2</t>
  </si>
  <si>
    <t>Wild Mirror</t>
  </si>
  <si>
    <t>978-8-62978-967-2</t>
  </si>
  <si>
    <t>The Weakness and Lightning</t>
  </si>
  <si>
    <t>978-3-82800-493-5</t>
  </si>
  <si>
    <t>The Map Approach</t>
  </si>
  <si>
    <t>978-6-56570-331-2</t>
  </si>
  <si>
    <t>Sun Forever Changed</t>
  </si>
  <si>
    <t>978-4-70940-629-1</t>
  </si>
  <si>
    <t>High Book</t>
  </si>
  <si>
    <t>978-9-49855-844-9</t>
  </si>
  <si>
    <t>The Ice Untold</t>
  </si>
  <si>
    <t>978-2-87564-856-2</t>
  </si>
  <si>
    <t>The River Legacy</t>
  </si>
  <si>
    <t>978-1-16884-271-7</t>
  </si>
  <si>
    <t>Always Faith</t>
  </si>
  <si>
    <t>Rodale Books</t>
  </si>
  <si>
    <t>978-5-66595-725-4</t>
  </si>
  <si>
    <t>Voice Never Forgotten</t>
  </si>
  <si>
    <t>978-0-13106-734-1</t>
  </si>
  <si>
    <t>Spy Reclaimed</t>
  </si>
  <si>
    <t>978-5-43729-265-1</t>
  </si>
  <si>
    <t>Forest of Shadows</t>
  </si>
  <si>
    <t>978-1-14569-174-1</t>
  </si>
  <si>
    <t>The Beast Theory</t>
  </si>
  <si>
    <t>978-7-25886-680-8</t>
  </si>
  <si>
    <t>A Letter</t>
  </si>
  <si>
    <t>978-1-92941-548-3</t>
  </si>
  <si>
    <t>Hate of Roses</t>
  </si>
  <si>
    <t>Rick Riordan</t>
  </si>
  <si>
    <t>978-8-70079-794-8</t>
  </si>
  <si>
    <t>Iron Captain</t>
  </si>
  <si>
    <t>978-7-87984-918-9</t>
  </si>
  <si>
    <t>Beyond Code</t>
  </si>
  <si>
    <t>978-2-67496-349-9</t>
  </si>
  <si>
    <t>Deal Undone</t>
  </si>
  <si>
    <t>978-0-88154-284-7</t>
  </si>
  <si>
    <t>Against War</t>
  </si>
  <si>
    <t>978-2-99816-964-7</t>
  </si>
  <si>
    <t>Knight Always Watching</t>
  </si>
  <si>
    <t>978-5-64927-303-5</t>
  </si>
  <si>
    <t>The Crown Fallen</t>
  </si>
  <si>
    <t>978-3-92840-467-4</t>
  </si>
  <si>
    <t>The Ocean Unbound</t>
  </si>
  <si>
    <t>978-6-78389-600-3</t>
  </si>
  <si>
    <t>Below Empire</t>
  </si>
  <si>
    <t>978-7-22844-563-7</t>
  </si>
  <si>
    <t>Star Reclaimed</t>
  </si>
  <si>
    <t>978-6-34241-908-5</t>
  </si>
  <si>
    <t>Truth and Lightning</t>
  </si>
  <si>
    <t>David Eddings</t>
  </si>
  <si>
    <t>978-9-15357-474-5</t>
  </si>
  <si>
    <t>The Villain of Roses</t>
  </si>
  <si>
    <t>978-8-98907-945-8</t>
  </si>
  <si>
    <t>The Soldier Framework</t>
  </si>
  <si>
    <t>Tomi Adeyemi</t>
  </si>
  <si>
    <t>978-4-64596-798-8</t>
  </si>
  <si>
    <t>Game and Rain</t>
  </si>
  <si>
    <t>978-2-44079-332-7</t>
  </si>
  <si>
    <t>Secret Sky</t>
  </si>
  <si>
    <t>978-2-36890-675-0</t>
  </si>
  <si>
    <t>Saving Garden</t>
  </si>
  <si>
    <t>978-7-47988-872-9</t>
  </si>
  <si>
    <t>Rising Forest</t>
  </si>
  <si>
    <t>978-8-39116-900-4</t>
  </si>
  <si>
    <t>Garden Unleashed</t>
  </si>
  <si>
    <t>978-1-38271-845-7</t>
  </si>
  <si>
    <t>Sea and Bone</t>
  </si>
  <si>
    <t>978-4-64331-279-8</t>
  </si>
  <si>
    <t>Silent City</t>
  </si>
  <si>
    <t>978-6-33510-603-3</t>
  </si>
  <si>
    <t>The Princess of Ice</t>
  </si>
  <si>
    <t>978-2-16932-379-5</t>
  </si>
  <si>
    <t>The Valley Method</t>
  </si>
  <si>
    <t>978-2-11690-240-8</t>
  </si>
  <si>
    <t>Sea Framework</t>
  </si>
  <si>
    <t>978-2-12277-591-5</t>
  </si>
  <si>
    <t>House Awakening</t>
  </si>
  <si>
    <t>978-6-15572-301-1</t>
  </si>
  <si>
    <t>Code Forever Changed</t>
  </si>
  <si>
    <t>978-4-85989-456-5</t>
  </si>
  <si>
    <t>The House Always Watching</t>
  </si>
  <si>
    <t>978-1-33704-954-5</t>
  </si>
  <si>
    <t>The Beauty Blueprint</t>
  </si>
  <si>
    <t>978-9-50895-803-7</t>
  </si>
  <si>
    <t>Quiet City</t>
  </si>
  <si>
    <t>BrenÃ© Brown</t>
  </si>
  <si>
    <t>978-5-36248-709-6</t>
  </si>
  <si>
    <t>Ice Reclaimed</t>
  </si>
  <si>
    <t>978-1-16927-950-1</t>
  </si>
  <si>
    <t>The Desert of Fire</t>
  </si>
  <si>
    <t>978-1-60283-560-5</t>
  </si>
  <si>
    <t>First City</t>
  </si>
  <si>
    <t>978-7-83695-974-2</t>
  </si>
  <si>
    <t>Through Day</t>
  </si>
  <si>
    <t>978-3-42455-340-4</t>
  </si>
  <si>
    <t>Cold Heart</t>
  </si>
  <si>
    <t>978-6-84757-499-5</t>
  </si>
  <si>
    <t>Saving Room</t>
  </si>
  <si>
    <t>978-1-85784-197-9</t>
  </si>
  <si>
    <t>Cold Lie</t>
  </si>
  <si>
    <t>Viktor Frankl</t>
  </si>
  <si>
    <t>978-2-12438-742-8</t>
  </si>
  <si>
    <t>Fear Theory</t>
  </si>
  <si>
    <t>Naomi Novik</t>
  </si>
  <si>
    <t>978-4-47623-761-2</t>
  </si>
  <si>
    <t>Valley of Shadows</t>
  </si>
  <si>
    <t>978-4-96333-663-2</t>
  </si>
  <si>
    <t>Warrior Reimagined</t>
  </si>
  <si>
    <t>978-7-21829-343-9</t>
  </si>
  <si>
    <t>Silent Sky</t>
  </si>
  <si>
    <t>978-5-81531-533-7</t>
  </si>
  <si>
    <t>Below Fear</t>
  </si>
  <si>
    <t>978-6-11031-502-4</t>
  </si>
  <si>
    <t>The Mirror Reborn</t>
  </si>
  <si>
    <t>978-2-44205-618-1</t>
  </si>
  <si>
    <t>Before Knight</t>
  </si>
  <si>
    <t>978-5-69177-589-2</t>
  </si>
  <si>
    <t>The Earth of Thorns</t>
  </si>
  <si>
    <t>978-2-16525-510-9</t>
  </si>
  <si>
    <t>Soldier and Ash</t>
  </si>
  <si>
    <t>Brian McClellan</t>
  </si>
  <si>
    <t>978-9-38254-943-4</t>
  </si>
  <si>
    <t>The Game Reimagined</t>
  </si>
  <si>
    <t>978-6-88275-362-1</t>
  </si>
  <si>
    <t>Dark Warrior</t>
  </si>
  <si>
    <t>978-2-21750-424-8</t>
  </si>
  <si>
    <t>When River</t>
  </si>
  <si>
    <t>978-7-16975-293-2</t>
  </si>
  <si>
    <t>Book Never Forgotten</t>
  </si>
  <si>
    <t>978-2-76681-942-4</t>
  </si>
  <si>
    <t>Voice System</t>
  </si>
  <si>
    <t>978-5-30155-129-1</t>
  </si>
  <si>
    <t>The Nurse Unleashed</t>
  </si>
  <si>
    <t>Jeff Kinney</t>
  </si>
  <si>
    <t>978-6-21690-121-3</t>
  </si>
  <si>
    <t>Beyond Captain</t>
  </si>
  <si>
    <t>978-1-65382-930-5</t>
  </si>
  <si>
    <t>The War Chronicles</t>
  </si>
  <si>
    <t>Tana French</t>
  </si>
  <si>
    <t>978-8-66063-402-9</t>
  </si>
  <si>
    <t>The Desert Framework</t>
  </si>
  <si>
    <t>978-0-20917-526-4</t>
  </si>
  <si>
    <t>Hero Theory</t>
  </si>
  <si>
    <t>978-9-73795-410-9</t>
  </si>
  <si>
    <t>The Court and Thunder</t>
  </si>
  <si>
    <t>978-3-21284-408-7</t>
  </si>
  <si>
    <t>The House Awakening</t>
  </si>
  <si>
    <t>978-9-82653-397-0</t>
  </si>
  <si>
    <t>The Hate Chronicles</t>
  </si>
  <si>
    <t>978-2-47750-843-3</t>
  </si>
  <si>
    <t>The Court Revisited</t>
  </si>
  <si>
    <t>978-6-74713-410-3</t>
  </si>
  <si>
    <t>House Reckoning</t>
  </si>
  <si>
    <t>978-0-83010-373-2</t>
  </si>
  <si>
    <t>World and Bone</t>
  </si>
  <si>
    <t>Anthony Ryan</t>
  </si>
  <si>
    <t>978-7-23014-257-5</t>
  </si>
  <si>
    <t>Desert Saga</t>
  </si>
  <si>
    <t>978-6-39908-241-6</t>
  </si>
  <si>
    <t>Mirror Undone</t>
  </si>
  <si>
    <t>978-8-48761-529-6</t>
  </si>
  <si>
    <t>Land Saga</t>
  </si>
  <si>
    <t>978-1-14845-650-5</t>
  </si>
  <si>
    <t>The Princess and Thunder</t>
  </si>
  <si>
    <t>978-1-17857-961-5</t>
  </si>
  <si>
    <t>The Hero Code</t>
  </si>
  <si>
    <t>978-8-42457-207-5</t>
  </si>
  <si>
    <t>Storm and Rain</t>
  </si>
  <si>
    <t>978-6-67682-805-7</t>
  </si>
  <si>
    <t>Falling Earth</t>
  </si>
  <si>
    <t>978-6-24461-223-5</t>
  </si>
  <si>
    <t>Loud King</t>
  </si>
  <si>
    <t>978-1-15856-527-7</t>
  </si>
  <si>
    <t>Fire Throne</t>
  </si>
  <si>
    <t>978-0-97876-553-4</t>
  </si>
  <si>
    <t>Before War</t>
  </si>
  <si>
    <t>978-9-68226-186-8</t>
  </si>
  <si>
    <t>Between Knight</t>
  </si>
  <si>
    <t>978-1-30214-414-6</t>
  </si>
  <si>
    <t>Chasing Teacher</t>
  </si>
  <si>
    <t>978-8-60469-217-4</t>
  </si>
  <si>
    <t>The Kingdom Code</t>
  </si>
  <si>
    <t>978-2-58929-653-2</t>
  </si>
  <si>
    <t>The Warrior Reimagined</t>
  </si>
  <si>
    <t>978-8-46629-999-6</t>
  </si>
  <si>
    <t>The Moon of Roses</t>
  </si>
  <si>
    <t>978-6-82848-813-7</t>
  </si>
  <si>
    <t>Cold Hero</t>
  </si>
  <si>
    <t>978-3-21792-935-9</t>
  </si>
  <si>
    <t>First Key</t>
  </si>
  <si>
    <t>978-2-18566-702-2</t>
  </si>
  <si>
    <t>Door Framework</t>
  </si>
  <si>
    <t>978-5-77797-877-0</t>
  </si>
  <si>
    <t>Last King</t>
  </si>
  <si>
    <t>978-9-92090-442-4</t>
  </si>
  <si>
    <t>Where Clock</t>
  </si>
  <si>
    <t>978-4-90050-741-6</t>
  </si>
  <si>
    <t>The Message</t>
  </si>
  <si>
    <t>978-7-77792-436-9</t>
  </si>
  <si>
    <t>The Villain of Stars</t>
  </si>
  <si>
    <t>978-2-29321-580-4</t>
  </si>
  <si>
    <t>The Queen Undone</t>
  </si>
  <si>
    <t>978-7-88612-809-5</t>
  </si>
  <si>
    <t>Secret Throne</t>
  </si>
  <si>
    <t>978-6-34149-945-0</t>
  </si>
  <si>
    <t>Always Court</t>
  </si>
  <si>
    <t>978-2-35688-122-2</t>
  </si>
  <si>
    <t>The Message Blueprint</t>
  </si>
  <si>
    <t>Robert Asprin</t>
  </si>
  <si>
    <t>978-3-35124-645-6</t>
  </si>
  <si>
    <t>Deal Chronicles</t>
  </si>
  <si>
    <t>978-9-18503-271-8</t>
  </si>
  <si>
    <t>Map and Snow</t>
  </si>
  <si>
    <t>David Sinclair</t>
  </si>
  <si>
    <t>978-3-61891-323-4</t>
  </si>
  <si>
    <t>A Ice</t>
  </si>
  <si>
    <t>978-6-58170-923-7</t>
  </si>
  <si>
    <t>Sea Legacy</t>
  </si>
  <si>
    <t>978-5-42771-409-4</t>
  </si>
  <si>
    <t>Warrior and Bone</t>
  </si>
  <si>
    <t>Rainbow Rowell</t>
  </si>
  <si>
    <t>978-8-71438-839-7</t>
  </si>
  <si>
    <t>The Crown and Lightning</t>
  </si>
  <si>
    <t>978-8-49274-433-9</t>
  </si>
  <si>
    <t>Iron Day</t>
  </si>
  <si>
    <t>978-8-33283-132-9</t>
  </si>
  <si>
    <t>Hunter Blueprint</t>
  </si>
  <si>
    <t>978-1-60986-986-3</t>
  </si>
  <si>
    <t>The Ice Method</t>
  </si>
  <si>
    <t>978-7-70319-573-9</t>
  </si>
  <si>
    <t>Within Knight</t>
  </si>
  <si>
    <t>Lisa Jewell</t>
  </si>
  <si>
    <t>978-8-25889-477-1</t>
  </si>
  <si>
    <t>The Moon Rising</t>
  </si>
  <si>
    <t>978-1-27888-434-7</t>
  </si>
  <si>
    <t>The Game Saga</t>
  </si>
  <si>
    <t>Leigh Bardugo</t>
  </si>
  <si>
    <t>978-3-14514-791-8</t>
  </si>
  <si>
    <t>Fierce House</t>
  </si>
  <si>
    <t>978-1-38910-198-2</t>
  </si>
  <si>
    <t>The War of Roses</t>
  </si>
  <si>
    <t>978-1-96240-934-4</t>
  </si>
  <si>
    <t>The Game Always Watching</t>
  </si>
  <si>
    <t>Gary Vaynerchuk</t>
  </si>
  <si>
    <t>978-5-12313-723-9</t>
  </si>
  <si>
    <t>The War Saga</t>
  </si>
  <si>
    <t>978-7-53082-237-4</t>
  </si>
  <si>
    <t>Land of Thorns</t>
  </si>
  <si>
    <t>978-0-18469-990-7</t>
  </si>
  <si>
    <t>The Captain Chronicles</t>
  </si>
  <si>
    <t>978-1-57131-507-6</t>
  </si>
  <si>
    <t>The Earth and Bone</t>
  </si>
  <si>
    <t>978-7-19429-441-2</t>
  </si>
  <si>
    <t>Game Revealed</t>
  </si>
  <si>
    <t>978-3-67186-361-5</t>
  </si>
  <si>
    <t>Detective Theory</t>
  </si>
  <si>
    <t>978-2-11617-219-1</t>
  </si>
  <si>
    <t>Hunter of Stars</t>
  </si>
  <si>
    <t>Dave Ramsey</t>
  </si>
  <si>
    <t>978-5-28705-375-3</t>
  </si>
  <si>
    <t>Above Shadow</t>
  </si>
  <si>
    <t>Mark Lawrence</t>
  </si>
  <si>
    <t>978-7-84329-933-3</t>
  </si>
  <si>
    <t>The Spy</t>
  </si>
  <si>
    <t>978-0-97205-696-0</t>
  </si>
  <si>
    <t>Sea of Shadows</t>
  </si>
  <si>
    <t>Veronica Roth</t>
  </si>
  <si>
    <t>978-0-69889-991-6</t>
  </si>
  <si>
    <t>Moon Revisited</t>
  </si>
  <si>
    <t>978-7-40612-721-7</t>
  </si>
  <si>
    <t>Fire Voice</t>
  </si>
  <si>
    <t>978-1-73198-778-8</t>
  </si>
  <si>
    <t>Spy Rising</t>
  </si>
  <si>
    <t>978-9-18476-759-5</t>
  </si>
  <si>
    <t>The Detective Blueprint</t>
  </si>
  <si>
    <t>Edith Eger</t>
  </si>
  <si>
    <t>978-9-10220-418-0</t>
  </si>
  <si>
    <t>World Unbound</t>
  </si>
  <si>
    <t>978-0-88496-427-4</t>
  </si>
  <si>
    <t>The River Revisited</t>
  </si>
  <si>
    <t>978-2-12826-661-6</t>
  </si>
  <si>
    <t>Truth Never Forgotten</t>
  </si>
  <si>
    <t>978-2-67918-812-7</t>
  </si>
  <si>
    <t>Last Doctor</t>
  </si>
  <si>
    <t>978-2-92178-839-6</t>
  </si>
  <si>
    <t>The Detective System</t>
  </si>
  <si>
    <t>978-7-45877-810-1</t>
  </si>
  <si>
    <t>The World and Ash</t>
  </si>
  <si>
    <t>Dalai Lama</t>
  </si>
  <si>
    <t>978-8-95419-227-3</t>
  </si>
  <si>
    <t>Falling Beauty</t>
  </si>
  <si>
    <t>978-6-96266-100-3</t>
  </si>
  <si>
    <t>The Land Blueprint</t>
  </si>
  <si>
    <t>978-2-88924-665-3</t>
  </si>
  <si>
    <t>Quiet Spy</t>
  </si>
  <si>
    <t>978-8-89291-267-6</t>
  </si>
  <si>
    <t>Spy of Glass</t>
  </si>
  <si>
    <t>978-4-11292-200-6</t>
  </si>
  <si>
    <t>The Grace of Stars</t>
  </si>
  <si>
    <t>978-8-82308-708-6</t>
  </si>
  <si>
    <t>Within Warrior</t>
  </si>
  <si>
    <t>978-8-39984-412-1</t>
  </si>
  <si>
    <t>Above Kingdom</t>
  </si>
  <si>
    <t>978-8-26343-515-0</t>
  </si>
  <si>
    <t>Window and Thunder</t>
  </si>
  <si>
    <t>978-2-58927-215-5</t>
  </si>
  <si>
    <t>The Empire of Glass</t>
  </si>
  <si>
    <t>978-5-24046-105-5</t>
  </si>
  <si>
    <t>Voice Framework</t>
  </si>
  <si>
    <t>978-6-33878-649-4</t>
  </si>
  <si>
    <t>Land Reborn</t>
  </si>
  <si>
    <t>978-1-65193-600-8</t>
  </si>
  <si>
    <t>The Captain Forever Changed</t>
  </si>
  <si>
    <t>978-0-66928-591-4</t>
  </si>
  <si>
    <t>Sky Blueprint</t>
  </si>
  <si>
    <t>978-1-27340-510-0</t>
  </si>
  <si>
    <t>Where Shadow</t>
  </si>
  <si>
    <t>978-4-56009-828-6</t>
  </si>
  <si>
    <t>Silent Truth</t>
  </si>
  <si>
    <t>978-5-57260-859-5</t>
  </si>
  <si>
    <t>The Faith Rising</t>
  </si>
  <si>
    <t>Kevin J. Anderson</t>
  </si>
  <si>
    <t>978-2-15742-230-3</t>
  </si>
  <si>
    <t>Below House</t>
  </si>
  <si>
    <t>978-3-62100-606-8</t>
  </si>
  <si>
    <t>Mirror and Thunder</t>
  </si>
  <si>
    <t>978-4-49768-972-3</t>
  </si>
  <si>
    <t>Teacher Unleashed</t>
  </si>
  <si>
    <t>Daniel Silva</t>
  </si>
  <si>
    <t>978-9-58380-432-1</t>
  </si>
  <si>
    <t>Silver Book</t>
  </si>
  <si>
    <t>978-8-37021-936-7</t>
  </si>
  <si>
    <t>How Captain</t>
  </si>
  <si>
    <t>978-2-33295-937-6</t>
  </si>
  <si>
    <t>Empire of Glass</t>
  </si>
  <si>
    <t>978-4-28695-742-9</t>
  </si>
  <si>
    <t>Golden Throne</t>
  </si>
  <si>
    <t>978-4-23443-623-6</t>
  </si>
  <si>
    <t>Falling Queen</t>
  </si>
  <si>
    <t>978-1-57250-186-0</t>
  </si>
  <si>
    <t>Strength and Rain</t>
  </si>
  <si>
    <t>978-7-18822-215-9</t>
  </si>
  <si>
    <t>The Book Method</t>
  </si>
  <si>
    <t>978-8-79962-604-8</t>
  </si>
  <si>
    <t>World and Rain</t>
  </si>
  <si>
    <t>978-6-41784-315-3</t>
  </si>
  <si>
    <t>The King Framework</t>
  </si>
  <si>
    <t>978-2-33910-581-2</t>
  </si>
  <si>
    <t>Land Never Forgotten</t>
  </si>
  <si>
    <t>978-6-30552-378-1</t>
  </si>
  <si>
    <t>Fire Window</t>
  </si>
  <si>
    <t>978-1-57540-717-5</t>
  </si>
  <si>
    <t>The Warrior Theory</t>
  </si>
  <si>
    <t>978-0-56746-869-4</t>
  </si>
  <si>
    <t>Choice and Rain</t>
  </si>
  <si>
    <t>978-7-20322-740-1</t>
  </si>
  <si>
    <t>The Desert Reborn</t>
  </si>
  <si>
    <t>978-1-11958-246-4</t>
  </si>
  <si>
    <t>The Plan and Lightning</t>
  </si>
  <si>
    <t>978-9-73997-140-5</t>
  </si>
  <si>
    <t>Love Reclaimed</t>
  </si>
  <si>
    <t>978-4-59259-262-9</t>
  </si>
  <si>
    <t>When Window</t>
  </si>
  <si>
    <t>978-7-37870-819-7</t>
  </si>
  <si>
    <t>Into Forest</t>
  </si>
  <si>
    <t>Angela Duckworth</t>
  </si>
  <si>
    <t>978-2-19077-380-6</t>
  </si>
  <si>
    <t>Clock Reckoning</t>
  </si>
  <si>
    <t>978-6-56490-809-9</t>
  </si>
  <si>
    <t>Iron Soldier</t>
  </si>
  <si>
    <t>978-7-93744-692-1</t>
  </si>
  <si>
    <t>The Queen and Thunder</t>
  </si>
  <si>
    <t>978-6-63790-460-5</t>
  </si>
  <si>
    <t>Above Plan</t>
  </si>
  <si>
    <t>978-1-95147-116-9</t>
  </si>
  <si>
    <t>Love Chronicles</t>
  </si>
  <si>
    <t>978-6-94523-820-6</t>
  </si>
  <si>
    <t>The Doctor of Ice</t>
  </si>
  <si>
    <t>978-6-41697-669-6</t>
  </si>
  <si>
    <t>A Admiral</t>
  </si>
  <si>
    <t>978-4-82470-262-5</t>
  </si>
  <si>
    <t>After World</t>
  </si>
  <si>
    <t>978-4-20874-247-0</t>
  </si>
  <si>
    <t>Shadow Undone</t>
  </si>
  <si>
    <t>978-3-65038-484-5</t>
  </si>
  <si>
    <t>Out of Land</t>
  </si>
  <si>
    <t>978-1-38437-130-5</t>
  </si>
  <si>
    <t>Silver Valley</t>
  </si>
  <si>
    <t>978-4-61488-205-9</t>
  </si>
  <si>
    <t>Found Captain</t>
  </si>
  <si>
    <t>978-8-56170-507-0</t>
  </si>
  <si>
    <t>The Room Never Forgotten</t>
  </si>
  <si>
    <t>978-3-83615-167-6</t>
  </si>
  <si>
    <t>The Map of Stars</t>
  </si>
  <si>
    <t>978-3-85551-121-4</t>
  </si>
  <si>
    <t>The Doctor Undone</t>
  </si>
  <si>
    <t>978-6-20455-669-5</t>
  </si>
  <si>
    <t>Lost Star</t>
  </si>
  <si>
    <t>978-0-44037-903-0</t>
  </si>
  <si>
    <t>Strength Reborn</t>
  </si>
  <si>
    <t>978-8-79152-346-9</t>
  </si>
  <si>
    <t>Hunter Code</t>
  </si>
  <si>
    <t>978-3-87401-879-8</t>
  </si>
  <si>
    <t>Deep Shadow</t>
  </si>
  <si>
    <t>978-2-70418-997-1</t>
  </si>
  <si>
    <t>The Message Unbound</t>
  </si>
  <si>
    <t>978-6-65389-298-4</t>
  </si>
  <si>
    <t>Power Approach</t>
  </si>
  <si>
    <t>978-6-61368-502-1</t>
  </si>
  <si>
    <t>Fire of Stars</t>
  </si>
  <si>
    <t>978-2-11669-782-7</t>
  </si>
  <si>
    <t>The Princess Undone</t>
  </si>
  <si>
    <t>978-5-69325-602-5</t>
  </si>
  <si>
    <t>Room and Ash</t>
  </si>
  <si>
    <t>978-6-93720-210-4</t>
  </si>
  <si>
    <t>Home Unleashed</t>
  </si>
  <si>
    <t>978-1-11092-610-2</t>
  </si>
  <si>
    <t>Clock and Rain</t>
  </si>
  <si>
    <t>978-4-28051-458-4</t>
  </si>
  <si>
    <t>The Knight Awakening</t>
  </si>
  <si>
    <t>978-4-49586-711-4</t>
  </si>
  <si>
    <t>The Ocean Method</t>
  </si>
  <si>
    <t>978-5-76036-801-5</t>
  </si>
  <si>
    <t>Moon of Ice</t>
  </si>
  <si>
    <t>978-6-26506-512-0</t>
  </si>
  <si>
    <t>The Dream and Thunder</t>
  </si>
  <si>
    <t>Dan Simmons</t>
  </si>
  <si>
    <t>978-4-92344-418-0</t>
  </si>
  <si>
    <t>Code and Thunder</t>
  </si>
  <si>
    <t>978-3-81659-366-9</t>
  </si>
  <si>
    <t>Deep World</t>
  </si>
  <si>
    <t>978-7-64643-933-6</t>
  </si>
  <si>
    <t>The Princess Fallen</t>
  </si>
  <si>
    <t>978-8-61199-625-1</t>
  </si>
  <si>
    <t>Out of Storm</t>
  </si>
  <si>
    <t>978-5-86610-732-6</t>
  </si>
  <si>
    <t>Spy and Lightning</t>
  </si>
  <si>
    <t>978-1-67872-881-5</t>
  </si>
  <si>
    <t>The Deal Saga</t>
  </si>
  <si>
    <t>Deepak Chopra</t>
  </si>
  <si>
    <t>978-0-57128-892-6</t>
  </si>
  <si>
    <t>Rising Queen</t>
  </si>
  <si>
    <t>978-4-23226-220-7</t>
  </si>
  <si>
    <t>The Grace and Bone</t>
  </si>
  <si>
    <t>978-9-71732-369-0</t>
  </si>
  <si>
    <t>Power of Fire</t>
  </si>
  <si>
    <t>978-9-90272-182-8</t>
  </si>
  <si>
    <t>Admiral Blueprint</t>
  </si>
  <si>
    <t>978-8-73199-153-6</t>
  </si>
  <si>
    <t>Star of Ice</t>
  </si>
  <si>
    <t>978-9-16000-921-0</t>
  </si>
  <si>
    <t>Beauty Forever Changed</t>
  </si>
  <si>
    <t>978-5-38873-554-4</t>
  </si>
  <si>
    <t>Garden Code</t>
  </si>
  <si>
    <t>978-3-26088-481-2</t>
  </si>
  <si>
    <t>The Prince of Shadows</t>
  </si>
  <si>
    <t>978-6-79794-153-4</t>
  </si>
  <si>
    <t>Fear and Lightning</t>
  </si>
  <si>
    <t>978-8-44091-266-6</t>
  </si>
  <si>
    <t>The Garden of Stars</t>
  </si>
  <si>
    <t>978-5-44670-967-2</t>
  </si>
  <si>
    <t>Between Choice</t>
  </si>
  <si>
    <t>978-4-74871-230-3</t>
  </si>
  <si>
    <t>The House of Roses</t>
  </si>
  <si>
    <t>978-3-55839-211-1</t>
  </si>
  <si>
    <t>Shadow Letter</t>
  </si>
  <si>
    <t>978-4-91515-131-2</t>
  </si>
  <si>
    <t>Signal System</t>
  </si>
  <si>
    <t>978-8-64798-651-1</t>
  </si>
  <si>
    <t>Wild Choice</t>
  </si>
  <si>
    <t>978-6-57432-181-5</t>
  </si>
  <si>
    <t>Fierce Grace</t>
  </si>
  <si>
    <t>978-3-33581-997-7</t>
  </si>
  <si>
    <t>The Code of Glass</t>
  </si>
  <si>
    <t>978-3-48455-221-5</t>
  </si>
  <si>
    <t>The Letter Unbound</t>
  </si>
  <si>
    <t>978-7-59725-428-7</t>
  </si>
  <si>
    <t>Broken Fire</t>
  </si>
  <si>
    <t>978-3-66431-631-4</t>
  </si>
  <si>
    <t>The Throne Revealed</t>
  </si>
  <si>
    <t>Alastair Reynolds</t>
  </si>
  <si>
    <t>978-8-80505-918-3</t>
  </si>
  <si>
    <t>Burning Queen</t>
  </si>
  <si>
    <t>978-5-20363-862-3</t>
  </si>
  <si>
    <t>Storm City</t>
  </si>
  <si>
    <t>978-3-98257-300-4</t>
  </si>
  <si>
    <t>The Shadow Undone</t>
  </si>
  <si>
    <t>978-9-40764-753-5</t>
  </si>
  <si>
    <t>The Doctor and Lightning</t>
  </si>
  <si>
    <t>978-1-33094-575-5</t>
  </si>
  <si>
    <t>The Love Reimagined</t>
  </si>
  <si>
    <t>978-6-62255-366-0</t>
  </si>
  <si>
    <t>Rising Dream</t>
  </si>
  <si>
    <t>978-8-18318-770-0</t>
  </si>
  <si>
    <t>Lost Throne</t>
  </si>
  <si>
    <t>978-8-62158-910-7</t>
  </si>
  <si>
    <t>Captain Chronicles</t>
  </si>
  <si>
    <t>978-9-61265-298-9</t>
  </si>
  <si>
    <t>Doctor Revealed</t>
  </si>
  <si>
    <t>978-8-76400-350-6</t>
  </si>
  <si>
    <t>The River Saga</t>
  </si>
  <si>
    <t>978-9-42763-185-2</t>
  </si>
  <si>
    <t>The Mountain Chronicles</t>
  </si>
  <si>
    <t>978-8-75511-420-3</t>
  </si>
  <si>
    <t>The Beauty and Thunder</t>
  </si>
  <si>
    <t>978-7-28332-866-8</t>
  </si>
  <si>
    <t>Storm Earth</t>
  </si>
  <si>
    <t>978-2-31527-636-7</t>
  </si>
  <si>
    <t>The Nurse Untold</t>
  </si>
  <si>
    <t>978-4-47249-940-6</t>
  </si>
  <si>
    <t>The Hate</t>
  </si>
  <si>
    <t>978-9-46338-926-9</t>
  </si>
  <si>
    <t>Never Signal</t>
  </si>
  <si>
    <t>978-6-72190-463-4</t>
  </si>
  <si>
    <t>The Ice of Stars</t>
  </si>
  <si>
    <t>978-5-65584-318-9</t>
  </si>
  <si>
    <t>Row Labels</t>
  </si>
  <si>
    <t>Grand Total</t>
  </si>
  <si>
    <t>Count of Title</t>
  </si>
  <si>
    <t>Sum of Rating</t>
  </si>
  <si>
    <t>Sum of Reviews</t>
  </si>
  <si>
    <t>Sum of Weeks on List</t>
  </si>
  <si>
    <t>Sum of Amazon BSR</t>
  </si>
  <si>
    <t>kpi</t>
  </si>
  <si>
    <t>Average of Rating</t>
  </si>
  <si>
    <t>Average of Price (USD)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</si>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</sst>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top5</a:t>
            </a:r>
            <a:r>
              <a:rPr lang="en-IN" baseline="0"/>
              <a:t> author by title</a:t>
            </a:r>
            <a:endParaRPr lang="en-IN"/>
          </a:p>
        </c:rich>
      </c:tx>
      <c:layout>
        <c:manualLayout>
          <c:xMode val="edge"/>
          <c:yMode val="edge"/>
          <c:x val="0.22235780592661566"/>
          <c:y val="8.0858021683700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Sheet1!$A$4:$A$10</c:f>
              <c:strCache>
                <c:ptCount val="6"/>
                <c:pt idx="0">
                  <c:v>Colleen Hoover</c:v>
                </c:pt>
                <c:pt idx="1">
                  <c:v>Daniel Kahneman</c:v>
                </c:pt>
                <c:pt idx="2">
                  <c:v>Matthew Stover</c:v>
                </c:pt>
                <c:pt idx="3">
                  <c:v>Ta-Nehisi Coates</c:v>
                </c:pt>
                <c:pt idx="4">
                  <c:v>Taylor Jenkins Reid</c:v>
                </c:pt>
                <c:pt idx="5">
                  <c:v>Viola Davis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9-45D7-8356-52FA07F7A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overlap val="-27"/>
        <c:axId val="148763247"/>
        <c:axId val="148769967"/>
      </c:barChart>
      <c:catAx>
        <c:axId val="1487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967"/>
        <c:crosses val="autoZero"/>
        <c:auto val="1"/>
        <c:lblAlgn val="ctr"/>
        <c:lblOffset val="100"/>
        <c:noMultiLvlLbl val="0"/>
      </c:catAx>
      <c:valAx>
        <c:axId val="14876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5400000" algn="t" rotWithShape="0">
        <a:schemeClr val="accent3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sub</a:t>
            </a:r>
            <a:r>
              <a:rPr lang="en-IN" baseline="0"/>
              <a:t>-genre by category and title</a:t>
            </a:r>
            <a:endParaRPr lang="en-IN"/>
          </a:p>
        </c:rich>
      </c:tx>
      <c:layout>
        <c:manualLayout>
          <c:xMode val="edge"/>
          <c:yMode val="edge"/>
          <c:x val="0.10137018478401896"/>
          <c:y val="1.035242457018566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72398687805457"/>
          <c:y val="0.23767441409051251"/>
          <c:w val="0.6587136830383854"/>
          <c:h val="0.637709353523436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Sheet1!$N$3:$N$4</c:f>
              <c:strCache>
                <c:ptCount val="1"/>
                <c:pt idx="0">
                  <c:v>Fiction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Sheet1!$M$5:$M$10</c:f>
              <c:strCache>
                <c:ptCount val="5"/>
                <c:pt idx="0">
                  <c:v>Historical Fiction</c:v>
                </c:pt>
                <c:pt idx="1">
                  <c:v>Middle Grade</c:v>
                </c:pt>
                <c:pt idx="2">
                  <c:v>Romantasy</c:v>
                </c:pt>
                <c:pt idx="3">
                  <c:v>Science Fiction</c:v>
                </c:pt>
                <c:pt idx="4">
                  <c:v>Self-Help</c:v>
                </c:pt>
              </c:strCache>
            </c:strRef>
          </c:cat>
          <c:val>
            <c:numRef>
              <c:f>Sheet1!$N$5:$N$10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18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5-4F1B-8B8F-F094FFA2A460}"/>
            </c:ext>
          </c:extLst>
        </c:ser>
        <c:ser>
          <c:idx val="1"/>
          <c:order val="1"/>
          <c:tx>
            <c:strRef>
              <c:f>Sheet1!$O$3:$O$4</c:f>
              <c:strCache>
                <c:ptCount val="1"/>
                <c:pt idx="0">
                  <c:v>Non-Fiction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Sheet1!$M$5:$M$10</c:f>
              <c:strCache>
                <c:ptCount val="5"/>
                <c:pt idx="0">
                  <c:v>Historical Fiction</c:v>
                </c:pt>
                <c:pt idx="1">
                  <c:v>Middle Grade</c:v>
                </c:pt>
                <c:pt idx="2">
                  <c:v>Romantasy</c:v>
                </c:pt>
                <c:pt idx="3">
                  <c:v>Science Fiction</c:v>
                </c:pt>
                <c:pt idx="4">
                  <c:v>Self-Help</c:v>
                </c:pt>
              </c:strCache>
            </c:strRef>
          </c:cat>
          <c:val>
            <c:numRef>
              <c:f>Sheet1!$O$5:$O$10</c:f>
              <c:numCache>
                <c:formatCode>General</c:formatCode>
                <c:ptCount val="5"/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5-4F1B-8B8F-F094FFA2A4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54"/>
        <c:axId val="148751727"/>
        <c:axId val="148740687"/>
      </c:barChart>
      <c:catAx>
        <c:axId val="14875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40687"/>
        <c:crosses val="autoZero"/>
        <c:auto val="1"/>
        <c:lblAlgn val="ctr"/>
        <c:lblOffset val="100"/>
        <c:noMultiLvlLbl val="0"/>
      </c:catAx>
      <c:valAx>
        <c:axId val="14874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34661599693331"/>
          <c:y val="0.63700798807996362"/>
          <c:w val="0.23861601631501744"/>
          <c:h val="0.21557541534550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</a:t>
            </a:r>
            <a:r>
              <a:rPr lang="en-US" baseline="0"/>
              <a:t> by format</a:t>
            </a:r>
            <a:endParaRPr lang="en-US"/>
          </a:p>
        </c:rich>
      </c:tx>
      <c:layout>
        <c:manualLayout>
          <c:xMode val="edge"/>
          <c:yMode val="edge"/>
          <c:x val="0.24320128109771211"/>
          <c:y val="3.8094530182946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986959848136636E-2"/>
          <c:y val="0.20100840015311366"/>
          <c:w val="0.52746805623902104"/>
          <c:h val="0.71829346584430032"/>
        </c:manualLayout>
      </c:layout>
      <c:pieChart>
        <c:varyColors val="1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AF-4ACD-BCF5-ACAFEA237B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AF-4ACD-BCF5-ACAFEA237B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AF-4ACD-BCF5-ACAFEA237B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AF-4ACD-BCF5-ACAFEA237B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AF-4ACD-BCF5-ACAFEA237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Sheet1!$J$4:$J$9</c:f>
              <c:strCache>
                <c:ptCount val="5"/>
                <c:pt idx="0">
                  <c:v>Audiobook</c:v>
                </c:pt>
                <c:pt idx="1">
                  <c:v>Board Book</c:v>
                </c:pt>
                <c:pt idx="2">
                  <c:v>Hardcover</c:v>
                </c:pt>
                <c:pt idx="3">
                  <c:v>Kindle Edition</c:v>
                </c:pt>
                <c:pt idx="4">
                  <c:v>Paperback</c:v>
                </c:pt>
              </c:strCache>
            </c:strRef>
          </c:cat>
          <c:val>
            <c:numRef>
              <c:f>Sheet1!$K$4:$K$9</c:f>
              <c:numCache>
                <c:formatCode>General</c:formatCode>
                <c:ptCount val="5"/>
                <c:pt idx="0">
                  <c:v>47</c:v>
                </c:pt>
                <c:pt idx="1">
                  <c:v>26</c:v>
                </c:pt>
                <c:pt idx="2">
                  <c:v>156</c:v>
                </c:pt>
                <c:pt idx="3">
                  <c:v>72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AF-4ACD-BCF5-ACAFEA237B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</a:t>
            </a:r>
            <a:r>
              <a:rPr lang="en-US" baseline="0"/>
              <a:t> publish by year</a:t>
            </a:r>
            <a:endParaRPr lang="en-US"/>
          </a:p>
        </c:rich>
      </c:tx>
      <c:layout>
        <c:manualLayout>
          <c:xMode val="edge"/>
          <c:yMode val="edge"/>
          <c:x val="0.37866156078543123"/>
          <c:y val="3.5184507831268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8496850745306366E-2"/>
          <c:y val="0.1477186697597212"/>
          <c:w val="0.55826021686994409"/>
          <c:h val="0.85228133024027886"/>
        </c:manualLayout>
      </c:layout>
      <c:doughnutChart>
        <c:varyColors val="1"/>
        <c:ser>
          <c:idx val="0"/>
          <c:order val="0"/>
          <c:tx>
            <c:strRef>
              <c:f>Sheet1!$E$22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C-4A9B-ACBE-32BFB68814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C-4A9B-ACBE-32BFB68814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7C-4A9B-ACBE-32BFB68814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7C-4A9B-ACBE-32BFB68814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7C-4A9B-ACBE-32BFB6881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Sheet1!$D$23:$D$28</c:f>
              <c:strCache>
                <c:ptCount val="5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Sheet1!$E$23:$E$28</c:f>
              <c:numCache>
                <c:formatCode>General</c:formatCode>
                <c:ptCount val="5"/>
                <c:pt idx="0">
                  <c:v>44</c:v>
                </c:pt>
                <c:pt idx="1">
                  <c:v>57</c:v>
                </c:pt>
                <c:pt idx="2">
                  <c:v>63</c:v>
                </c:pt>
                <c:pt idx="3">
                  <c:v>60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7C-4A9B-ACBE-32BFB6881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8"/>
        <c:holeSize val="66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top5</a:t>
            </a:r>
            <a:r>
              <a:rPr lang="en-US" baseline="0"/>
              <a:t> title by BSR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Sheet1!$G$22:$G$27</c:f>
              <c:strCache>
                <c:ptCount val="5"/>
                <c:pt idx="0">
                  <c:v>Wild Dark Shore</c:v>
                </c:pt>
                <c:pt idx="1">
                  <c:v>The Body Keeps the Score</c:v>
                </c:pt>
                <c:pt idx="2">
                  <c:v>Stress Relief Coloring Book</c:v>
                </c:pt>
                <c:pt idx="3">
                  <c:v>Project Hail Mary</c:v>
                </c:pt>
                <c:pt idx="4">
                  <c:v>A Court of Silver Flames</c:v>
                </c:pt>
              </c:strCache>
            </c:strRef>
          </c:cat>
          <c:val>
            <c:numRef>
              <c:f>Sheet1!$H$22:$H$27</c:f>
              <c:numCache>
                <c:formatCode>General</c:formatCode>
                <c:ptCount val="5"/>
                <c:pt idx="0">
                  <c:v>81</c:v>
                </c:pt>
                <c:pt idx="1">
                  <c:v>81</c:v>
                </c:pt>
                <c:pt idx="2">
                  <c:v>110</c:v>
                </c:pt>
                <c:pt idx="3">
                  <c:v>64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7-4A43-BC59-2AB1B9B8AA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532202991"/>
        <c:axId val="532187151"/>
      </c:barChart>
      <c:catAx>
        <c:axId val="53220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87151"/>
        <c:crosses val="autoZero"/>
        <c:auto val="1"/>
        <c:lblAlgn val="ctr"/>
        <c:lblOffset val="100"/>
        <c:noMultiLvlLbl val="0"/>
      </c:catAx>
      <c:valAx>
        <c:axId val="53218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0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title</a:t>
            </a:r>
            <a:r>
              <a:rPr lang="en-US" baseline="0"/>
              <a:t> by review</a:t>
            </a:r>
            <a:endParaRPr lang="en-US"/>
          </a:p>
        </c:rich>
      </c:tx>
      <c:layout>
        <c:manualLayout>
          <c:xMode val="edge"/>
          <c:yMode val="edge"/>
          <c:x val="0.4626579819988631"/>
          <c:y val="6.6424737353658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2273716651912"/>
          <c:y val="0.213546206263906"/>
          <c:w val="0.88417846156306656"/>
          <c:h val="0.49171634917871959"/>
        </c:manualLayout>
      </c:layout>
      <c:lineChart>
        <c:grouping val="standard"/>
        <c:varyColors val="0"/>
        <c:ser>
          <c:idx val="0"/>
          <c:order val="0"/>
          <c:tx>
            <c:strRef>
              <c:f>Sheet1!$H$11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Sheet1!$G$12:$G$18</c:f>
              <c:strCache>
                <c:ptCount val="6"/>
                <c:pt idx="0">
                  <c:v>It Ends with Us</c:v>
                </c:pt>
                <c:pt idx="1">
                  <c:v>Project Hail Mary</c:v>
                </c:pt>
                <c:pt idx="2">
                  <c:v>Rich Dad Poor Dad</c:v>
                </c:pt>
                <c:pt idx="3">
                  <c:v>The Seven Husbands of Evelyn Hugo</c:v>
                </c:pt>
                <c:pt idx="4">
                  <c:v>Ugly Love</c:v>
                </c:pt>
                <c:pt idx="5">
                  <c:v>Verity</c:v>
                </c:pt>
              </c:strCache>
            </c:strRef>
          </c:cat>
          <c:val>
            <c:numRef>
              <c:f>Sheet1!$H$12:$H$18</c:f>
              <c:numCache>
                <c:formatCode>General</c:formatCode>
                <c:ptCount val="6"/>
                <c:pt idx="0">
                  <c:v>220000</c:v>
                </c:pt>
                <c:pt idx="1">
                  <c:v>130000</c:v>
                </c:pt>
                <c:pt idx="2">
                  <c:v>180000</c:v>
                </c:pt>
                <c:pt idx="3">
                  <c:v>145000</c:v>
                </c:pt>
                <c:pt idx="4">
                  <c:v>130000</c:v>
                </c:pt>
                <c:pt idx="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3-4AB8-A80F-1EA754E697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0972511"/>
        <c:axId val="2080979711"/>
      </c:lineChart>
      <c:catAx>
        <c:axId val="20809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79711"/>
        <c:crosses val="autoZero"/>
        <c:auto val="1"/>
        <c:lblAlgn val="ctr"/>
        <c:lblOffset val="100"/>
        <c:noMultiLvlLbl val="0"/>
      </c:catAx>
      <c:valAx>
        <c:axId val="208097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7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[Amazon_BestSelling_Books.xlsx]Sheet1!PivotTable9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top4 publisher by title</a:t>
            </a:r>
            <a:r>
              <a:rPr lang="en-US" baseline="0"/>
              <a:t>   </a:t>
            </a:r>
            <a:endParaRPr lang="en-US"/>
          </a:p>
        </c:rich>
      </c:tx>
      <c:layout>
        <c:manualLayout>
          <c:xMode val="edge"/>
          <c:yMode val="edge"/>
          <c:x val="0.2763962335248466"/>
          <c:y val="6.1364730511768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Sheet1!$A$23:$A$27</c:f>
              <c:strCache>
                <c:ptCount val="4"/>
                <c:pt idx="0">
                  <c:v>Bloomsbury Publishing</c:v>
                </c:pt>
                <c:pt idx="1">
                  <c:v>Convergent Books</c:v>
                </c:pt>
                <c:pt idx="2">
                  <c:v>Scholastic Press</c:v>
                </c:pt>
                <c:pt idx="3">
                  <c:v>Tor Books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E-4763-B29D-508C1332C1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209711"/>
        <c:axId val="532206831"/>
      </c:barChart>
      <c:catAx>
        <c:axId val="53220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06831"/>
        <c:crosses val="autoZero"/>
        <c:auto val="1"/>
        <c:lblAlgn val="ctr"/>
        <c:lblOffset val="100"/>
        <c:noMultiLvlLbl val="0"/>
      </c:catAx>
      <c:valAx>
        <c:axId val="5322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0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top5 popular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top5 popular title</a:t>
          </a:r>
        </a:p>
      </cx:txPr>
    </cx:title>
    <cx:plotArea>
      <cx:plotAreaRegion>
        <cx:series layoutId="treemap" uniqueId="{CA69BBF6-4A27-4367-8935-F9133520AFF9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bg1"/>
                    </a:solidFill>
                  </a:defRPr>
                </a:pPr>
                <a:endParaRPr lang="en-US" sz="11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effectLst>
      <a:outerShdw blurRad="50800" dist="38100" dir="5400000" algn="t" rotWithShape="0">
        <a:schemeClr val="accent3">
          <a:lumMod val="75000"/>
          <a:alpha val="40000"/>
        </a:scheme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openxmlformats.org/officeDocument/2006/relationships/image" Target="../media/image2.sv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84667</xdr:colOff>
      <xdr:row>2</xdr:row>
      <xdr:rowOff>0</xdr:rowOff>
    </xdr:from>
    <xdr:to>
      <xdr:col>32</xdr:col>
      <xdr:colOff>197556</xdr:colOff>
      <xdr:row>36</xdr:row>
      <xdr:rowOff>103482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605555D-A0D7-43CD-C922-3A4608393799}"/>
            </a:ext>
          </a:extLst>
        </xdr:cNvPr>
        <xdr:cNvSpPr/>
      </xdr:nvSpPr>
      <xdr:spPr>
        <a:xfrm>
          <a:off x="6810963" y="0"/>
          <a:ext cx="12954000" cy="6001926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55756</xdr:colOff>
      <xdr:row>8</xdr:row>
      <xdr:rowOff>111514</xdr:rowOff>
    </xdr:from>
    <xdr:to>
      <xdr:col>17</xdr:col>
      <xdr:colOff>473927</xdr:colOff>
      <xdr:row>11</xdr:row>
      <xdr:rowOff>92929</xdr:rowOff>
    </xdr:to>
    <xdr:sp macro="" textlink="Sheet1!J30">
      <xdr:nvSpPr>
        <xdr:cNvPr id="11" name="TextBox 10">
          <a:extLst>
            <a:ext uri="{FF2B5EF4-FFF2-40B4-BE49-F238E27FC236}">
              <a16:creationId xmlns:a16="http://schemas.microsoft.com/office/drawing/2014/main" id="{CE3A6090-F351-EDD8-ACAC-19BD73C80E2C}"/>
            </a:ext>
          </a:extLst>
        </xdr:cNvPr>
        <xdr:cNvSpPr txBox="1"/>
      </xdr:nvSpPr>
      <xdr:spPr>
        <a:xfrm>
          <a:off x="9868829" y="1226636"/>
          <a:ext cx="1031488" cy="353122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3EE8F18-FF57-4637-B124-EC9EBBB9753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500</a:t>
          </a:fld>
          <a:endParaRPr lang="en-IN" sz="1400" b="1"/>
        </a:p>
      </xdr:txBody>
    </xdr:sp>
    <xdr:clientData/>
  </xdr:twoCellAnchor>
  <xdr:twoCellAnchor>
    <xdr:from>
      <xdr:col>18</xdr:col>
      <xdr:colOff>176560</xdr:colOff>
      <xdr:row>8</xdr:row>
      <xdr:rowOff>92926</xdr:rowOff>
    </xdr:from>
    <xdr:to>
      <xdr:col>20</xdr:col>
      <xdr:colOff>92924</xdr:colOff>
      <xdr:row>11</xdr:row>
      <xdr:rowOff>92926</xdr:rowOff>
    </xdr:to>
    <xdr:sp macro="" textlink="Sheet1!J31">
      <xdr:nvSpPr>
        <xdr:cNvPr id="12" name="TextBox 11">
          <a:extLst>
            <a:ext uri="{FF2B5EF4-FFF2-40B4-BE49-F238E27FC236}">
              <a16:creationId xmlns:a16="http://schemas.microsoft.com/office/drawing/2014/main" id="{4B8790CE-427E-7143-6805-FD172E5B5379}"/>
            </a:ext>
          </a:extLst>
        </xdr:cNvPr>
        <xdr:cNvSpPr txBox="1"/>
      </xdr:nvSpPr>
      <xdr:spPr>
        <a:xfrm>
          <a:off x="11216267" y="1208048"/>
          <a:ext cx="1142998" cy="371707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A68EFA9-1233-4785-8CB4-58B980BBAB9F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4.4122</a:t>
          </a:fld>
          <a:endParaRPr lang="en-IN" sz="1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381231</xdr:colOff>
      <xdr:row>8</xdr:row>
      <xdr:rowOff>92466</xdr:rowOff>
    </xdr:from>
    <xdr:to>
      <xdr:col>23</xdr:col>
      <xdr:colOff>520622</xdr:colOff>
      <xdr:row>11</xdr:row>
      <xdr:rowOff>36712</xdr:rowOff>
    </xdr:to>
    <xdr:sp macro="" textlink="Sheet1!L31">
      <xdr:nvSpPr>
        <xdr:cNvPr id="13" name="TextBox 12">
          <a:extLst>
            <a:ext uri="{FF2B5EF4-FFF2-40B4-BE49-F238E27FC236}">
              <a16:creationId xmlns:a16="http://schemas.microsoft.com/office/drawing/2014/main" id="{2EBC0A85-D91E-AECC-CEF6-45A1B7DBBDBB}"/>
            </a:ext>
          </a:extLst>
        </xdr:cNvPr>
        <xdr:cNvSpPr txBox="1"/>
      </xdr:nvSpPr>
      <xdr:spPr>
        <a:xfrm>
          <a:off x="12610861" y="1522392"/>
          <a:ext cx="1973835" cy="480468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FED0CC1-D463-4E93-9FD4-A0B982284E52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It Ends with Us-220000</a:t>
          </a:fld>
          <a:endParaRPr lang="en-US" sz="1400" b="1"/>
        </a:p>
      </xdr:txBody>
    </xdr:sp>
    <xdr:clientData/>
  </xdr:twoCellAnchor>
  <xdr:twoCellAnchor>
    <xdr:from>
      <xdr:col>24</xdr:col>
      <xdr:colOff>46462</xdr:colOff>
      <xdr:row>8</xdr:row>
      <xdr:rowOff>139390</xdr:rowOff>
    </xdr:from>
    <xdr:to>
      <xdr:col>28</xdr:col>
      <xdr:colOff>102219</xdr:colOff>
      <xdr:row>11</xdr:row>
      <xdr:rowOff>111512</xdr:rowOff>
    </xdr:to>
    <xdr:sp macro="" textlink="Sheet1!L33">
      <xdr:nvSpPr>
        <xdr:cNvPr id="14" name="TextBox 13">
          <a:extLst>
            <a:ext uri="{FF2B5EF4-FFF2-40B4-BE49-F238E27FC236}">
              <a16:creationId xmlns:a16="http://schemas.microsoft.com/office/drawing/2014/main" id="{74033E1C-1B4D-0E41-B02E-FAE8D66692B5}"/>
            </a:ext>
          </a:extLst>
        </xdr:cNvPr>
        <xdr:cNvSpPr txBox="1"/>
      </xdr:nvSpPr>
      <xdr:spPr>
        <a:xfrm>
          <a:off x="14766072" y="1254512"/>
          <a:ext cx="2509025" cy="343829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2D909FE3-45CB-4F9B-B7E2-ACA963EA4844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Oh, the Places You'll Go!-1200</a:t>
          </a:fld>
          <a:endParaRPr lang="en-IN" sz="1400" b="1"/>
        </a:p>
      </xdr:txBody>
    </xdr:sp>
    <xdr:clientData/>
  </xdr:twoCellAnchor>
  <xdr:twoCellAnchor>
    <xdr:from>
      <xdr:col>28</xdr:col>
      <xdr:colOff>288073</xdr:colOff>
      <xdr:row>8</xdr:row>
      <xdr:rowOff>139387</xdr:rowOff>
    </xdr:from>
    <xdr:to>
      <xdr:col>32</xdr:col>
      <xdr:colOff>111512</xdr:colOff>
      <xdr:row>11</xdr:row>
      <xdr:rowOff>92925</xdr:rowOff>
    </xdr:to>
    <xdr:sp macro="" textlink="Sheet1!L36">
      <xdr:nvSpPr>
        <xdr:cNvPr id="15" name="TextBox 14">
          <a:extLst>
            <a:ext uri="{FF2B5EF4-FFF2-40B4-BE49-F238E27FC236}">
              <a16:creationId xmlns:a16="http://schemas.microsoft.com/office/drawing/2014/main" id="{4D04D7BE-6585-1F6A-8EB9-0EB295E8CE33}"/>
            </a:ext>
          </a:extLst>
        </xdr:cNvPr>
        <xdr:cNvSpPr txBox="1"/>
      </xdr:nvSpPr>
      <xdr:spPr>
        <a:xfrm>
          <a:off x="17460951" y="1254509"/>
          <a:ext cx="2276707" cy="32524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A1DE659C-5091-414B-8989-8A51181F757B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A Court of Silver Flames-30</a:t>
          </a:fld>
          <a:endParaRPr lang="en-IN" sz="1400" b="1"/>
        </a:p>
      </xdr:txBody>
    </xdr:sp>
    <xdr:clientData/>
  </xdr:twoCellAnchor>
  <xdr:twoCellAnchor>
    <xdr:from>
      <xdr:col>11</xdr:col>
      <xdr:colOff>213731</xdr:colOff>
      <xdr:row>12</xdr:row>
      <xdr:rowOff>167267</xdr:rowOff>
    </xdr:from>
    <xdr:to>
      <xdr:col>17</xdr:col>
      <xdr:colOff>92926</xdr:colOff>
      <xdr:row>23</xdr:row>
      <xdr:rowOff>74340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9BF8CB-EFA1-43C6-8F20-15021680D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176563</xdr:colOff>
      <xdr:row>12</xdr:row>
      <xdr:rowOff>148681</xdr:rowOff>
    </xdr:from>
    <xdr:to>
      <xdr:col>22</xdr:col>
      <xdr:colOff>371709</xdr:colOff>
      <xdr:row>23</xdr:row>
      <xdr:rowOff>37171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79582-91ED-471D-A212-C47ABA0EC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467239</xdr:colOff>
      <xdr:row>12</xdr:row>
      <xdr:rowOff>130099</xdr:rowOff>
    </xdr:from>
    <xdr:to>
      <xdr:col>27</xdr:col>
      <xdr:colOff>111512</xdr:colOff>
      <xdr:row>23</xdr:row>
      <xdr:rowOff>76387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9391CE-713F-4001-B972-4592D2533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250903</xdr:colOff>
      <xdr:row>2</xdr:row>
      <xdr:rowOff>37170</xdr:rowOff>
    </xdr:from>
    <xdr:to>
      <xdr:col>15</xdr:col>
      <xdr:colOff>317635</xdr:colOff>
      <xdr:row>12</xdr:row>
      <xdr:rowOff>74341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664C68-C653-4A64-A4E3-9661D9077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27877</xdr:colOff>
      <xdr:row>24</xdr:row>
      <xdr:rowOff>46578</xdr:rowOff>
    </xdr:from>
    <xdr:to>
      <xdr:col>32</xdr:col>
      <xdr:colOff>74340</xdr:colOff>
      <xdr:row>36</xdr:row>
      <xdr:rowOff>18699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3C3C3F4-A7BD-48A7-B411-55F87E888F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7477" y="4435698"/>
              <a:ext cx="3704063" cy="2166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202832</xdr:colOff>
      <xdr:row>24</xdr:row>
      <xdr:rowOff>18357</xdr:rowOff>
    </xdr:from>
    <xdr:to>
      <xdr:col>17</xdr:col>
      <xdr:colOff>28222</xdr:colOff>
      <xdr:row>35</xdr:row>
      <xdr:rowOff>83406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E39CD9-EDC1-46E6-927C-2171BD497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169334</xdr:colOff>
      <xdr:row>24</xdr:row>
      <xdr:rowOff>55757</xdr:rowOff>
    </xdr:from>
    <xdr:to>
      <xdr:col>25</xdr:col>
      <xdr:colOff>529683</xdr:colOff>
      <xdr:row>35</xdr:row>
      <xdr:rowOff>102220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6A4F48-38D5-4CB3-A769-512055ED4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232317</xdr:colOff>
      <xdr:row>12</xdr:row>
      <xdr:rowOff>139389</xdr:rowOff>
    </xdr:from>
    <xdr:to>
      <xdr:col>32</xdr:col>
      <xdr:colOff>0</xdr:colOff>
      <xdr:row>23</xdr:row>
      <xdr:rowOff>88094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2F917C-4DFF-470B-B637-90888E807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427462</xdr:colOff>
      <xdr:row>6</xdr:row>
      <xdr:rowOff>65048</xdr:rowOff>
    </xdr:from>
    <xdr:to>
      <xdr:col>17</xdr:col>
      <xdr:colOff>464633</xdr:colOff>
      <xdr:row>8</xdr:row>
      <xdr:rowOff>65049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82D8BE-21FF-943E-490D-E69C75B6CA36}"/>
            </a:ext>
          </a:extLst>
        </xdr:cNvPr>
        <xdr:cNvSpPr txBox="1"/>
      </xdr:nvSpPr>
      <xdr:spPr>
        <a:xfrm>
          <a:off x="9627218" y="808463"/>
          <a:ext cx="1263805" cy="371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</a:t>
          </a:r>
          <a:r>
            <a:rPr lang="en-IN" sz="1800" b="1">
              <a:solidFill>
                <a:schemeClr val="dk1"/>
              </a:solidFill>
              <a:latin typeface="+mn-lt"/>
              <a:ea typeface="+mn-ea"/>
              <a:cs typeface="+mn-cs"/>
            </a:rPr>
            <a:t>Ttile</a:t>
          </a:r>
        </a:p>
      </xdr:txBody>
    </xdr:sp>
    <xdr:clientData/>
  </xdr:twoCellAnchor>
  <xdr:twoCellAnchor>
    <xdr:from>
      <xdr:col>17</xdr:col>
      <xdr:colOff>594733</xdr:colOff>
      <xdr:row>6</xdr:row>
      <xdr:rowOff>55755</xdr:rowOff>
    </xdr:from>
    <xdr:to>
      <xdr:col>20</xdr:col>
      <xdr:colOff>83636</xdr:colOff>
      <xdr:row>8</xdr:row>
      <xdr:rowOff>65048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E0D72CE-93E6-D6D1-B7D5-226A01727B93}"/>
            </a:ext>
          </a:extLst>
        </xdr:cNvPr>
        <xdr:cNvSpPr txBox="1"/>
      </xdr:nvSpPr>
      <xdr:spPr>
        <a:xfrm>
          <a:off x="11021123" y="799170"/>
          <a:ext cx="1328854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avg. Rating</a:t>
          </a:r>
        </a:p>
      </xdr:txBody>
    </xdr:sp>
    <xdr:clientData/>
  </xdr:twoCellAnchor>
  <xdr:twoCellAnchor>
    <xdr:from>
      <xdr:col>20</xdr:col>
      <xdr:colOff>260199</xdr:colOff>
      <xdr:row>6</xdr:row>
      <xdr:rowOff>65047</xdr:rowOff>
    </xdr:from>
    <xdr:to>
      <xdr:col>23</xdr:col>
      <xdr:colOff>501807</xdr:colOff>
      <xdr:row>8</xdr:row>
      <xdr:rowOff>102218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2A783FD-0367-199F-11E4-E6637DB538C0}"/>
            </a:ext>
          </a:extLst>
        </xdr:cNvPr>
        <xdr:cNvSpPr txBox="1"/>
      </xdr:nvSpPr>
      <xdr:spPr>
        <a:xfrm>
          <a:off x="12526540" y="808462"/>
          <a:ext cx="2081560" cy="4088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highest reviwe</a:t>
          </a:r>
          <a:r>
            <a:rPr lang="en-IN" sz="1800" b="1" baseline="0"/>
            <a:t> title</a:t>
          </a:r>
          <a:endParaRPr lang="en-IN" sz="1800" b="1"/>
        </a:p>
      </xdr:txBody>
    </xdr:sp>
    <xdr:clientData/>
  </xdr:twoCellAnchor>
  <xdr:twoCellAnchor>
    <xdr:from>
      <xdr:col>24</xdr:col>
      <xdr:colOff>381001</xdr:colOff>
      <xdr:row>6</xdr:row>
      <xdr:rowOff>102219</xdr:rowOff>
    </xdr:from>
    <xdr:to>
      <xdr:col>28</xdr:col>
      <xdr:colOff>55758</xdr:colOff>
      <xdr:row>8</xdr:row>
      <xdr:rowOff>120805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3CCD07-7014-5CDE-1DBE-3B2314070D58}"/>
            </a:ext>
          </a:extLst>
        </xdr:cNvPr>
        <xdr:cNvSpPr txBox="1"/>
      </xdr:nvSpPr>
      <xdr:spPr>
        <a:xfrm>
          <a:off x="15100611" y="845634"/>
          <a:ext cx="2128025" cy="390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most popluar title</a:t>
          </a:r>
        </a:p>
      </xdr:txBody>
    </xdr:sp>
    <xdr:clientData/>
  </xdr:twoCellAnchor>
  <xdr:twoCellAnchor>
    <xdr:from>
      <xdr:col>29</xdr:col>
      <xdr:colOff>446049</xdr:colOff>
      <xdr:row>6</xdr:row>
      <xdr:rowOff>148683</xdr:rowOff>
    </xdr:from>
    <xdr:to>
      <xdr:col>32</xdr:col>
      <xdr:colOff>83634</xdr:colOff>
      <xdr:row>8</xdr:row>
      <xdr:rowOff>120805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2D21085-0F82-17D7-8122-7E3A20A16D3F}"/>
            </a:ext>
          </a:extLst>
        </xdr:cNvPr>
        <xdr:cNvSpPr txBox="1"/>
      </xdr:nvSpPr>
      <xdr:spPr>
        <a:xfrm>
          <a:off x="18232244" y="892098"/>
          <a:ext cx="1477536" cy="3438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higest BSR</a:t>
          </a:r>
        </a:p>
      </xdr:txBody>
    </xdr:sp>
    <xdr:clientData/>
  </xdr:twoCellAnchor>
  <xdr:twoCellAnchor>
    <xdr:from>
      <xdr:col>17</xdr:col>
      <xdr:colOff>150519</xdr:colOff>
      <xdr:row>2</xdr:row>
      <xdr:rowOff>112889</xdr:rowOff>
    </xdr:from>
    <xdr:to>
      <xdr:col>25</xdr:col>
      <xdr:colOff>244593</xdr:colOff>
      <xdr:row>4</xdr:row>
      <xdr:rowOff>150519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D70B78D-4786-9277-0051-7CC0E11170A6}"/>
            </a:ext>
          </a:extLst>
        </xdr:cNvPr>
        <xdr:cNvSpPr txBox="1"/>
      </xdr:nvSpPr>
      <xdr:spPr>
        <a:xfrm>
          <a:off x="10545704" y="112889"/>
          <a:ext cx="4985926" cy="3951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latin typeface="Aparajita" panose="02020603050405020304" pitchFamily="18" charset="0"/>
              <a:cs typeface="Aparajita" panose="02020603050405020304" pitchFamily="18" charset="0"/>
            </a:rPr>
            <a:t>Amazon</a:t>
          </a:r>
          <a:r>
            <a:rPr lang="en-IN" sz="3200" b="1" baseline="0">
              <a:latin typeface="Aparajita" panose="02020603050405020304" pitchFamily="18" charset="0"/>
              <a:cs typeface="Aparajita" panose="02020603050405020304" pitchFamily="18" charset="0"/>
            </a:rPr>
            <a:t> Best Selling Books</a:t>
          </a:r>
          <a:endParaRPr lang="en-IN" sz="3200" b="1">
            <a:latin typeface="Aparajita" panose="02020603050405020304" pitchFamily="18" charset="0"/>
            <a:cs typeface="Aparajita" panose="02020603050405020304" pitchFamily="18" charset="0"/>
          </a:endParaRPr>
        </a:p>
      </xdr:txBody>
    </xdr:sp>
    <xdr:clientData/>
  </xdr:twoCellAnchor>
  <xdr:twoCellAnchor editAs="oneCell">
    <xdr:from>
      <xdr:col>24</xdr:col>
      <xdr:colOff>319851</xdr:colOff>
      <xdr:row>2</xdr:row>
      <xdr:rowOff>0</xdr:rowOff>
    </xdr:from>
    <xdr:to>
      <xdr:col>25</xdr:col>
      <xdr:colOff>509881</xdr:colOff>
      <xdr:row>5</xdr:row>
      <xdr:rowOff>28222</xdr:rowOff>
    </xdr:to>
    <xdr:pic>
      <xdr:nvPicPr>
        <xdr:cNvPr id="23" name="Graphic 22" descr="Books with solid fill">
          <a:extLst>
            <a:ext uri="{FF2B5EF4-FFF2-40B4-BE49-F238E27FC236}">
              <a16:creationId xmlns:a16="http://schemas.microsoft.com/office/drawing/2014/main" id="{50237F1A-73F5-7D10-9EDB-B3AC184F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995407" y="0"/>
          <a:ext cx="801511" cy="56444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kumar" refreshedDate="46168.668195949074" createdVersion="8" refreshedVersion="8" minRefreshableVersion="3" recordCount="500" xr:uid="{EF2F8E2C-D44B-41A9-895E-905272DF497E}">
  <cacheSource type="worksheet">
    <worksheetSource name="Table1"/>
  </cacheSource>
  <cacheFields count="15">
    <cacheField name="Rank" numFmtId="0">
      <sharedItems containsSemiMixedTypes="0" containsString="0" containsNumber="1" containsInteger="1" minValue="1" maxValue="500"/>
    </cacheField>
    <cacheField name="Title" numFmtId="0">
      <sharedItems containsDate="1" containsMixedTypes="1" minDate="2009-11-01T00:00:00" maxDate="2009-11-02T00:00:00" count="500">
        <s v="The Let Them Theory"/>
        <s v="The Dinner Party"/>
        <s v="Project Hail Mary"/>
        <s v="The Correspondent: A Novel"/>
        <s v="Atomic Habits"/>
        <s v="A Court of Thorns and Roses"/>
        <s v="House of Flame and Shadow"/>
        <s v="Fourth Wing"/>
        <s v="The Body Keeps the Score"/>
        <s v="The Anxious Generation"/>
        <s v="Dog Man: Big Jim Believes"/>
        <s v="Oh, the Places You'll Go!"/>
        <s v="It's Not Her"/>
        <s v="Stress Relief Coloring Book"/>
        <s v="Dad, I Want to Hear Your Story"/>
        <s v="The Hunger Games Boxed Set"/>
        <s v="Memorial Days"/>
        <s v="Atmosphere"/>
        <s v="Wild Dark Shore"/>
        <s v="How To Draw Everything"/>
        <s v="The Housemaid"/>
        <s v="Dear Debbie"/>
        <s v="Iron Flame"/>
        <s v="A Court of Silver Flames"/>
        <s v="Spare"/>
        <s v="Never Never"/>
        <s v="It Ends with Us"/>
        <s v="Ugly Love"/>
        <s v="Verity"/>
        <d v="2009-11-01T00:00:00"/>
        <s v="The Midnight Library"/>
        <s v="Tomorrow, and Tomorrow, and Tomorrow"/>
        <s v="Lessons in Chemistry"/>
        <s v="The Seven Husbands of Evelyn Hugo"/>
        <s v="Daisy Jones and the Six"/>
        <s v="Malibu Rising"/>
        <s v="The Woman in Me"/>
        <s v="Greenlights"/>
        <s v="Think Again"/>
        <s v="Outlive"/>
        <s v="The Wager"/>
        <s v="Killers of the Flower Moon"/>
        <s v="The Creative Act"/>
        <s v="Same as Ever"/>
        <s v="The Psychology of Money"/>
        <s v="Rich Dad Poor Dad"/>
        <s v="The Subtle Art of Not Giving a F*ck"/>
        <s v="Can't Hurt Me"/>
        <s v="Dune"/>
        <s v="Ender's Game"/>
        <s v="Into Door"/>
        <s v="The Game and Rain"/>
        <s v="Last Ice"/>
        <s v="Golden Deal"/>
        <s v="Across Map"/>
        <s v="Nurse Rising"/>
        <s v="Valley and Thunder"/>
        <s v="Chasing Sky"/>
        <s v="The Knight and Bone"/>
        <s v="The Choice and Rain"/>
        <s v="Where Beauty"/>
        <s v="The Ocean"/>
        <s v="Across Game"/>
        <s v="Hero Saga"/>
        <s v="The Grace Awakening"/>
        <s v="The Villain Legacy"/>
        <s v="Deal Reckoning"/>
        <s v="Throne and Lightning"/>
        <s v="The Throne of Ice"/>
        <s v="The Mind Rising"/>
        <s v="The Letter Rising"/>
        <s v="Quiet Clock"/>
        <s v="The Knight Fallen"/>
        <s v="The Hunter of Fire"/>
        <s v="How Warrior"/>
        <s v="The Fire of Roses"/>
        <s v="The Plan Reborn"/>
        <s v="The Mirror of Fire"/>
        <s v="Game Reimagined"/>
        <s v="The Queen and Lightning"/>
        <s v="Brave Earth"/>
        <s v="The Soldier and Snow"/>
        <s v="The Villain Forever Changed"/>
        <s v="Shadow Mirror"/>
        <s v="The Map Method"/>
        <s v="The Book Reimagined"/>
        <s v="Below Deal"/>
        <s v="The Shadow Legacy"/>
        <s v="The Storm of Shadows"/>
        <s v="The Hope and Thunder"/>
        <s v="The Day Rising"/>
        <s v="The Mountain Saga"/>
        <s v="Into Love"/>
        <s v="Throne of Thorns"/>
        <s v="Land Revealed"/>
        <s v="City Chronicles"/>
        <s v="Nurse Revealed"/>
        <s v="Sky and Bone"/>
        <s v="The Key Undone"/>
        <s v="The Mind and Bone"/>
        <s v="Deal Untold"/>
        <s v="Sky Unleashed"/>
        <s v="The River of Glass"/>
        <s v="Doctor Approach"/>
        <s v="Beauty Fallen"/>
        <s v="Beneath Hero"/>
        <s v="Hope Reckoning"/>
        <s v="The Night Code"/>
        <s v="Deal Method"/>
        <s v="The Hate Forever Changed"/>
        <s v="Broken Hate"/>
        <s v="Fierce Teacher"/>
        <s v="The Light of Ice"/>
        <s v="Last Mirror"/>
        <s v="Before Book"/>
        <s v="Night Saga"/>
        <s v="The Strength Legacy"/>
        <s v="Across Moon"/>
        <s v="How Strength"/>
        <s v="Prince of Ice"/>
        <s v="Brave Game"/>
        <s v="After Knight"/>
        <s v="The Message and Bone"/>
        <s v="Beauty Approach"/>
        <s v="Shadow Captain"/>
        <s v="The Deal Theory"/>
        <s v="Out of Sky"/>
        <s v="The Mirror and Snow"/>
        <s v="The Dream Code"/>
        <s v="Wild Sky"/>
        <s v="The City Method"/>
        <s v="Within Window"/>
        <s v="The Code and Lightning"/>
        <s v="Hope and Rain"/>
        <s v="Doctor Never Forgotten"/>
        <s v="Land Undone"/>
        <s v="Hidden World"/>
        <s v="The Fire Framework"/>
        <s v="Truth Saga"/>
        <s v="River of Roses"/>
        <s v="Before Game"/>
        <s v="The Grace and Snow"/>
        <s v="Mind Always Watching"/>
        <s v="Map Revealed"/>
        <s v="Dream Legacy"/>
        <s v="Sun of Fire"/>
        <s v="Iron Sea"/>
        <s v="Into Hope"/>
        <s v="Deal of Thorns"/>
        <s v="The Shadow Unbound"/>
        <s v="The Valley Revisited"/>
        <s v="The Detective Revisited"/>
        <s v="Knight of Ice"/>
        <s v="Code Revisited"/>
        <s v="The Sun Reimagined"/>
        <s v="Map Always Watching"/>
        <s v="Storm of Ice"/>
        <s v="The Mountain and Bone"/>
        <s v="Silent Key"/>
        <s v="Saving Home"/>
        <s v="Silent Home"/>
        <s v="The Ice Unbound"/>
        <s v="Fierce Signal"/>
        <s v="Deep Game"/>
        <s v="Saving Lie"/>
        <s v="Deep Beast"/>
        <s v="Where Message"/>
        <s v="The Beast and Snow"/>
        <s v="The Plan of Roses"/>
        <s v="Warrior of Ice"/>
        <s v="Love Revisited"/>
        <s v="Nurse of Shadows"/>
        <s v="The River and Rain"/>
        <s v="The Storm of Fire"/>
        <s v="Storm War"/>
        <s v="Power Reclaimed"/>
        <s v="First Choice"/>
        <s v="City and Snow"/>
        <s v="The Crown Rising"/>
        <s v="The Kingdom Reimagined"/>
        <s v="Letter and Thunder"/>
        <s v="Town Reclaimed"/>
        <s v="Into Choice"/>
        <s v="Sky of Ice"/>
        <s v="Between Garden"/>
        <s v="The Earth of Fire"/>
        <s v="Plan Saga"/>
        <s v="The Beauty and Bone"/>
        <s v="Where Ice"/>
        <s v="Soul Unleashed"/>
        <s v="The Map"/>
        <s v="The Star Unleashed"/>
        <s v="Found Hope"/>
        <s v="A Town"/>
        <s v="House and Lightning"/>
        <s v="Knight of Glass"/>
        <s v="Burning Deal"/>
        <s v="The Sea Chronicles"/>
        <s v="Across King"/>
        <s v="The Land Reckoning"/>
        <s v="The Window Method"/>
        <s v="The Clock System"/>
        <s v="The Game of Stars"/>
        <s v="The Empire and Bone"/>
        <s v="The Clock Awakening"/>
        <s v="Spy Fallen"/>
        <s v="King of Roses"/>
        <s v="Voice Approach"/>
        <s v="Home Code"/>
        <s v="Strength Framework"/>
        <s v="Game Theory"/>
        <s v="The Choice Legacy"/>
        <s v="Broken Power"/>
        <s v="River Rising"/>
        <s v="Window Unbound"/>
        <s v="Sea Revisited"/>
        <s v="The Fear Saga"/>
        <s v="Always Weakness"/>
        <s v="The Shadow and Bone"/>
        <s v="Home and Thunder"/>
        <s v="Fire City"/>
        <s v="Faith of Fire"/>
        <s v="Court Revealed"/>
        <s v="Iron Heart"/>
        <s v="The Star Undone"/>
        <s v="The Captain of Glass"/>
        <s v="Faith Revealed"/>
        <s v="Earth of Glass"/>
        <s v="Map Reclaimed"/>
        <s v="Map Chronicles"/>
        <s v="The Clock Saga"/>
        <s v="When Hate"/>
        <s v="Court Reclaimed"/>
        <s v="House of Glass"/>
        <s v="First Detective"/>
        <s v="Beneath Sea"/>
        <s v="Game Unbound"/>
        <s v="The Storm and Bone"/>
        <s v="The Map Reckoning"/>
        <s v="Weakness Code"/>
        <s v="Found Choice"/>
        <s v="Game Method"/>
        <s v="The Kingdom Forever Changed"/>
        <s v="Against Message"/>
        <s v="Saving Deal"/>
        <s v="Beyond World"/>
        <s v="Hidden King"/>
        <s v="Princess of Roses"/>
        <s v="The Crown and Bone"/>
        <s v="The Home and Thunder"/>
        <s v="Dark Empire"/>
        <s v="The Sun Blueprint"/>
        <s v="Code Untold"/>
        <s v="Soul Reborn"/>
        <s v="Map Approach"/>
        <s v="Game of Stars"/>
        <s v="Wild Mirror"/>
        <s v="The Weakness and Lightning"/>
        <s v="The Map Approach"/>
        <s v="Sun Forever Changed"/>
        <s v="High Book"/>
        <s v="The Ice Untold"/>
        <s v="The River Legacy"/>
        <s v="Always Faith"/>
        <s v="Voice Never Forgotten"/>
        <s v="Spy Reclaimed"/>
        <s v="Forest of Shadows"/>
        <s v="The Beast Theory"/>
        <s v="A Letter"/>
        <s v="Hate of Roses"/>
        <s v="Iron Captain"/>
        <s v="Beyond Code"/>
        <s v="Deal Undone"/>
        <s v="Against War"/>
        <s v="Knight Always Watching"/>
        <s v="The Crown Fallen"/>
        <s v="The Ocean Unbound"/>
        <s v="Below Empire"/>
        <s v="Star Reclaimed"/>
        <s v="Truth and Lightning"/>
        <s v="The Villain of Roses"/>
        <s v="The Soldier Framework"/>
        <s v="Game and Rain"/>
        <s v="Secret Sky"/>
        <s v="Saving Garden"/>
        <s v="Rising Forest"/>
        <s v="Garden Unleashed"/>
        <s v="Sea and Bone"/>
        <s v="Silent City"/>
        <s v="The Princess of Ice"/>
        <s v="The Valley Method"/>
        <s v="Sea Framework"/>
        <s v="House Awakening"/>
        <s v="Code Forever Changed"/>
        <s v="The House Always Watching"/>
        <s v="The Beauty Blueprint"/>
        <s v="Quiet City"/>
        <s v="Ice Reclaimed"/>
        <s v="The Desert of Fire"/>
        <s v="First City"/>
        <s v="Through Day"/>
        <s v="Cold Heart"/>
        <s v="Saving Room"/>
        <s v="Cold Lie"/>
        <s v="Fear Theory"/>
        <s v="Valley of Shadows"/>
        <s v="Warrior Reimagined"/>
        <s v="Silent Sky"/>
        <s v="Below Fear"/>
        <s v="The Mirror Reborn"/>
        <s v="Before Knight"/>
        <s v="The Earth of Thorns"/>
        <s v="Soldier and Ash"/>
        <s v="The Game Reimagined"/>
        <s v="Dark Warrior"/>
        <s v="When River"/>
        <s v="Book Never Forgotten"/>
        <s v="Voice System"/>
        <s v="The Nurse Unleashed"/>
        <s v="Beyond Captain"/>
        <s v="The War Chronicles"/>
        <s v="The Desert Framework"/>
        <s v="Hero Theory"/>
        <s v="The Court and Thunder"/>
        <s v="The House Awakening"/>
        <s v="The Hate Chronicles"/>
        <s v="The Court Revisited"/>
        <s v="House Reckoning"/>
        <s v="World and Bone"/>
        <s v="Desert Saga"/>
        <s v="Mirror Undone"/>
        <s v="Land Saga"/>
        <s v="The Princess and Thunder"/>
        <s v="The Hero Code"/>
        <s v="Storm and Rain"/>
        <s v="Falling Earth"/>
        <s v="Loud King"/>
        <s v="Fire Throne"/>
        <s v="Before War"/>
        <s v="Between Knight"/>
        <s v="Chasing Teacher"/>
        <s v="The Kingdom Code"/>
        <s v="The Warrior Reimagined"/>
        <s v="The Moon of Roses"/>
        <s v="Cold Hero"/>
        <s v="First Key"/>
        <s v="Door Framework"/>
        <s v="Last King"/>
        <s v="Where Clock"/>
        <s v="The Message"/>
        <s v="The Villain of Stars"/>
        <s v="The Queen Undone"/>
        <s v="Secret Throne"/>
        <s v="Always Court"/>
        <s v="The Message Blueprint"/>
        <s v="Deal Chronicles"/>
        <s v="Map and Snow"/>
        <s v="A Ice"/>
        <s v="Sea Legacy"/>
        <s v="Warrior and Bone"/>
        <s v="The Crown and Lightning"/>
        <s v="Iron Day"/>
        <s v="Hunter Blueprint"/>
        <s v="The Ice Method"/>
        <s v="Within Knight"/>
        <s v="The Moon Rising"/>
        <s v="The Game Saga"/>
        <s v="Fierce House"/>
        <s v="The War of Roses"/>
        <s v="The Game Always Watching"/>
        <s v="The War Saga"/>
        <s v="Land of Thorns"/>
        <s v="The Captain Chronicles"/>
        <s v="The Earth and Bone"/>
        <s v="Game Revealed"/>
        <s v="Detective Theory"/>
        <s v="Hunter of Stars"/>
        <s v="Above Shadow"/>
        <s v="The Spy"/>
        <s v="Sea of Shadows"/>
        <s v="Moon Revisited"/>
        <s v="Fire Voice"/>
        <s v="Spy Rising"/>
        <s v="The Detective Blueprint"/>
        <s v="World Unbound"/>
        <s v="The River Revisited"/>
        <s v="Truth Never Forgotten"/>
        <s v="Last Doctor"/>
        <s v="The Detective System"/>
        <s v="The World and Ash"/>
        <s v="Falling Beauty"/>
        <s v="The Land Blueprint"/>
        <s v="Quiet Spy"/>
        <s v="Spy of Glass"/>
        <s v="The Grace of Stars"/>
        <s v="Within Warrior"/>
        <s v="Above Kingdom"/>
        <s v="Window and Thunder"/>
        <s v="The Empire of Glass"/>
        <s v="Voice Framework"/>
        <s v="Land Reborn"/>
        <s v="The Captain Forever Changed"/>
        <s v="Sky Blueprint"/>
        <s v="Where Shadow"/>
        <s v="Silent Truth"/>
        <s v="The Faith Rising"/>
        <s v="Below House"/>
        <s v="Mirror and Thunder"/>
        <s v="Teacher Unleashed"/>
        <s v="Silver Book"/>
        <s v="How Captain"/>
        <s v="Empire of Glass"/>
        <s v="Golden Throne"/>
        <s v="Falling Queen"/>
        <s v="Strength and Rain"/>
        <s v="The Book Method"/>
        <s v="World and Rain"/>
        <s v="The King Framework"/>
        <s v="Land Never Forgotten"/>
        <s v="Fire Window"/>
        <s v="The Warrior Theory"/>
        <s v="Choice and Rain"/>
        <s v="The Desert Reborn"/>
        <s v="The Plan and Lightning"/>
        <s v="Love Reclaimed"/>
        <s v="When Window"/>
        <s v="Into Forest"/>
        <s v="Clock Reckoning"/>
        <s v="Iron Soldier"/>
        <s v="The Queen and Thunder"/>
        <s v="Above Plan"/>
        <s v="Love Chronicles"/>
        <s v="The Doctor of Ice"/>
        <s v="A Admiral"/>
        <s v="After World"/>
        <s v="Shadow Undone"/>
        <s v="Out of Land"/>
        <s v="Silver Valley"/>
        <s v="Found Captain"/>
        <s v="The Room Never Forgotten"/>
        <s v="The Map of Stars"/>
        <s v="The Doctor Undone"/>
        <s v="Lost Star"/>
        <s v="Strength Reborn"/>
        <s v="Hunter Code"/>
        <s v="Deep Shadow"/>
        <s v="The Message Unbound"/>
        <s v="Power Approach"/>
        <s v="Fire of Stars"/>
        <s v="The Princess Undone"/>
        <s v="Room and Ash"/>
        <s v="Home Unleashed"/>
        <s v="Clock and Rain"/>
        <s v="The Knight Awakening"/>
        <s v="The Ocean Method"/>
        <s v="Moon of Ice"/>
        <s v="The Dream and Thunder"/>
        <s v="Code and Thunder"/>
        <s v="Deep World"/>
        <s v="The Princess Fallen"/>
        <s v="Out of Storm"/>
        <s v="Spy and Lightning"/>
        <s v="The Deal Saga"/>
        <s v="Rising Queen"/>
        <s v="The Grace and Bone"/>
        <s v="Power of Fire"/>
        <s v="Admiral Blueprint"/>
        <s v="Star of Ice"/>
        <s v="Beauty Forever Changed"/>
        <s v="Garden Code"/>
        <s v="The Prince of Shadows"/>
        <s v="Fear and Lightning"/>
        <s v="The Garden of Stars"/>
        <s v="Between Choice"/>
        <s v="The House of Roses"/>
        <s v="Shadow Letter"/>
        <s v="Signal System"/>
        <s v="Wild Choice"/>
        <s v="Fierce Grace"/>
        <s v="The Code of Glass"/>
        <s v="The Letter Unbound"/>
        <s v="Broken Fire"/>
        <s v="The Throne Revealed"/>
        <s v="Burning Queen"/>
        <s v="Storm City"/>
        <s v="The Shadow Undone"/>
        <s v="The Doctor and Lightning"/>
        <s v="The Love Reimagined"/>
        <s v="Rising Dream"/>
        <s v="Lost Throne"/>
        <s v="Captain Chronicles"/>
        <s v="Doctor Revealed"/>
        <s v="The River Saga"/>
        <s v="The Mountain Chronicles"/>
        <s v="The Beauty and Thunder"/>
        <s v="Storm Earth"/>
        <s v="The Nurse Untold"/>
        <s v="The Hate"/>
        <s v="Never Signal"/>
        <s v="The Ice of Stars"/>
      </sharedItems>
    </cacheField>
    <cacheField name="Author" numFmtId="0">
      <sharedItems count="168">
        <s v="Mel Robbins"/>
        <s v="Freida McFadden"/>
        <s v="Andy Weir"/>
        <s v="Virginia Evans"/>
        <s v="James Clear"/>
        <s v="Sarah J. Maas"/>
        <s v="Rebecca Yarros"/>
        <s v="Bessel van der Kolk"/>
        <s v="Jonathan Haidt"/>
        <s v="Dav Pilkey"/>
        <s v="Dr. Seuss"/>
        <s v="Mary Kubica"/>
        <s v="Various Artists"/>
        <s v="Jeffrey Mason"/>
        <s v="Suzanne Collins"/>
        <s v="Alysia Abbott"/>
        <s v="Taylor Jenkins Reid"/>
        <s v="Charlotte McConaghy"/>
        <s v="Angela Rizza"/>
        <s v="Prince Harry"/>
        <s v="Colleen Hoover"/>
        <s v="Matt Haig"/>
        <s v="Gabrielle Zevin"/>
        <s v="Bonnie Garmus"/>
        <s v="Britney Spears"/>
        <s v="Matthew McConaughey"/>
        <s v="Adam Grant"/>
        <s v="Peter Attia"/>
        <s v="David Grann"/>
        <s v="Rick Rubin"/>
        <s v="Morgan Housel"/>
        <s v="Robert Kiyosaki"/>
        <s v="Mark Manson"/>
        <s v="David Goggins"/>
        <s v="Frank Herbert"/>
        <s v="Orson Scott Card"/>
        <s v="Gabor MatÃ©"/>
        <s v="Erik Larson"/>
        <s v="Robin DiAngelo"/>
        <s v="Greg Bear"/>
        <s v="Doris Kearns Goodwin"/>
        <s v="Malcolm Gladwell"/>
        <s v="Gloria Steinem"/>
        <s v="Tamora Pierce"/>
        <s v="Liane Moriarty"/>
        <s v="Pema ChÃ¶drÃ¶n"/>
        <s v="Carmen Maria Machado"/>
        <s v="Michael J. Sullivan"/>
        <s v="Brad Thor"/>
        <s v="Lee Child"/>
        <s v="Raina Telgemeier"/>
        <s v="Nassim Taleb"/>
        <s v="V.E. Schwab"/>
        <s v="Ta-Nehisi Coates"/>
        <s v="Joe Abercrombie"/>
        <s v="Cal Newport"/>
        <s v="Jodi Picoult"/>
        <s v="Piers Anthony"/>
        <s v="Seth Godin"/>
        <s v="Publications International"/>
        <s v="Daniel Pink"/>
        <s v="bell hooks"/>
        <s v="Tahereh Mafi"/>
        <s v="Kim Stanley Robinson"/>
        <s v="Demi Moore"/>
        <s v="Bob Woodward"/>
        <s v="Ryan Holiday"/>
        <s v="Dean Koontz"/>
        <s v="Vince Flynn"/>
        <s v="Eckhart Tolle"/>
        <s v="Peter F. Hamilton"/>
        <s v="Patrick Rothfuss"/>
        <s v="Emily St. John Mandel"/>
        <s v="Ibram X. Kendi"/>
        <s v="Joyce Meyer"/>
        <s v="Barack Obama"/>
        <s v="Matthew Stover"/>
        <s v="Octavia Butler"/>
        <s v="Workman Publishing"/>
        <s v="Patricia A. McKillip"/>
        <s v="James Dashner"/>
        <s v="Alan Dean Foster"/>
        <s v="Michael Pollan"/>
        <s v="Kelly Link"/>
        <s v="Mercedes Lackey"/>
        <s v="N.K. Jemisin"/>
        <s v="Isabel Wilkerson"/>
        <s v="John Grisham"/>
        <s v="Andrew Huberman"/>
        <s v="Neil Gaiman"/>
        <s v="Morgan Rhodes"/>
        <s v="John Green"/>
        <s v="Tony Robbins"/>
        <s v="Trevor Noah"/>
        <s v="Oprah Winfrey"/>
        <s v="Jack Reacher"/>
        <s v="Lauren Groff"/>
        <s v="Martin Seligman"/>
        <s v="Thich Nhat Hanh"/>
        <s v="Brandon Sanderson"/>
        <s v="Robin McKinley"/>
        <s v="Jon Meacham"/>
        <s v="Paul Tremblay"/>
        <s v="Louise Hay"/>
        <s v="Simon Sinek"/>
        <s v="Hernan Diaz"/>
        <s v="Jeannette Walls"/>
        <s v="Cinda Williams Chima"/>
        <s v="Daniel Kahneman"/>
        <s v="various"/>
        <s v="Rhonda Byrne"/>
        <s v="Sabaa Tahir"/>
        <s v="Matthew Walker"/>
        <s v="Brent Weeks"/>
        <s v="Robin Hobb"/>
        <s v="Susanna Clarke"/>
        <s v="Anne McCaffrey"/>
        <s v="Mary Karr"/>
        <s v="Nicholas Sparks"/>
        <s v="Cassandra Clare"/>
        <s v="Terry Pratchett"/>
        <s v="Viola Davis"/>
        <s v="Tara Westover"/>
        <s v="Michael Connelly"/>
        <s v="Ursula K. Le Guin"/>
        <s v="Ben Greenfield"/>
        <s v="Carol Dweck"/>
        <s v="Walter Isaacson"/>
        <s v="Bryan Johnson"/>
        <s v="James Patterson"/>
        <s v="Stephen King"/>
        <s v="Nnedi Ofofor"/>
        <s v="Robert Sapolsky"/>
        <s v="Gillian Flynn"/>
        <s v="Paula Hawkins"/>
        <s v="Nora Roberts"/>
        <s v="Arianna Huffington"/>
        <s v="Victoria Aveyard"/>
        <s v="Rick Warren"/>
        <s v="Tim Ferriss"/>
        <s v="J.K. Rowling"/>
        <s v="Rick Riordan"/>
        <s v="David Eddings"/>
        <s v="Tomi Adeyemi"/>
        <s v="BrenÃ© Brown"/>
        <s v="Viktor Frankl"/>
        <s v="Naomi Novik"/>
        <s v="Brian McClellan"/>
        <s v="Jeff Kinney"/>
        <s v="Tana French"/>
        <s v="Anthony Ryan"/>
        <s v="Robert Asprin"/>
        <s v="David Sinclair"/>
        <s v="Rainbow Rowell"/>
        <s v="Lisa Jewell"/>
        <s v="Leigh Bardugo"/>
        <s v="Gary Vaynerchuk"/>
        <s v="Dave Ramsey"/>
        <s v="Mark Lawrence"/>
        <s v="Veronica Roth"/>
        <s v="Edith Eger"/>
        <s v="Dalai Lama"/>
        <s v="Kevin J. Anderson"/>
        <s v="Daniel Silva"/>
        <s v="Angela Duckworth"/>
        <s v="Dan Simmons"/>
        <s v="Deepak Chopra"/>
        <s v="Alastair Reynolds"/>
      </sharedItems>
    </cacheField>
    <cacheField name="Category" numFmtId="0">
      <sharedItems count="2">
        <s v="Non-Fiction"/>
        <s v="Fiction"/>
      </sharedItems>
    </cacheField>
    <cacheField name="Sub-Genre" numFmtId="0">
      <sharedItems count="48">
        <s v="Self-Help"/>
        <s v="Psychological Thriller"/>
        <s v="Science Fiction"/>
        <s v="Literary Fiction"/>
        <s v="Self-Help / Productivity"/>
        <s v="Romantasy"/>
        <s v="Psychology / Health"/>
        <s v="Psychology / Society"/>
        <s v="Children's / Graphic Novel"/>
        <s v="Children's Picture Book"/>
        <s v="Activity / Coloring"/>
        <s v="Gift / Journal"/>
        <s v="YA Dystopian"/>
        <s v="Memoir"/>
        <s v="Historical Fiction"/>
        <s v="Climate Fiction"/>
        <s v="Art / Activity"/>
        <s v="Contemporary Romance"/>
        <s v="Celebrity Memoir"/>
        <s v="Business / Psychology"/>
        <s v="Health / Longevity"/>
        <s v="History / Adventure"/>
        <s v="True Crime / History"/>
        <s v="Creativity / Art"/>
        <s v="Business / Finance"/>
        <s v="Personal Finance"/>
        <s v="Self-Help / Memoir"/>
        <s v="Science / Nature"/>
        <s v="Middle Grade"/>
        <s v="Cooking / Food"/>
        <s v="Spirituality / Religion"/>
        <s v="Graphic Novel"/>
        <s v="Dark Romance"/>
        <s v="Space Opera"/>
        <s v="Fantasy"/>
        <s v="Crime / Detective"/>
        <s v="Productivity"/>
        <s v="Politics / Society"/>
        <s v="Biography"/>
        <s v="YA Romance"/>
        <s v="Urban Fantasy"/>
        <s v="Horror"/>
        <s v="Paranormal Romance"/>
        <s v="Cozy Mystery"/>
        <s v="Business / Leadership"/>
        <s v="Parenting"/>
        <s v="True Crime"/>
        <s v="History"/>
      </sharedItems>
    </cacheField>
    <cacheField name="Format" numFmtId="0">
      <sharedItems count="5">
        <s v="Paperback"/>
        <s v="Hardcover"/>
        <s v="Audiobook"/>
        <s v="Kindle Edition"/>
        <s v="Board Book"/>
      </sharedItems>
    </cacheField>
    <cacheField name="Price (USD)" numFmtId="0">
      <sharedItems containsSemiMixedTypes="0" containsString="0" containsNumber="1" minValue="4.2300000000000004" maxValue="34.090000000000003"/>
    </cacheField>
    <cacheField name="Rating" numFmtId="0">
      <sharedItems containsSemiMixedTypes="0" containsString="0" containsNumber="1" minValue="3.6" maxValue="5"/>
    </cacheField>
    <cacheField name="Reviews" numFmtId="0">
      <sharedItems containsSemiMixedTypes="0" containsString="0" containsNumber="1" containsInteger="1" minValue="85" maxValue="220000"/>
    </cacheField>
    <cacheField name="Weeks on List" numFmtId="0">
      <sharedItems containsSemiMixedTypes="0" containsString="0" containsNumber="1" containsInteger="1" minValue="1" maxValue="1200"/>
    </cacheField>
    <cacheField name="Publisher" numFmtId="0">
      <sharedItems count="56">
        <s v="Hay House"/>
        <s v="Sourcebooks Landmark"/>
        <s v="Ballantine Books"/>
        <s v="Random House"/>
        <s v="Avery"/>
        <s v="Bloomsbury Publishing"/>
        <s v="Entangled: Red Tower Books"/>
        <s v="Penguin Books"/>
        <s v="Penguin Press"/>
        <s v="Graphix"/>
        <s v="Park Row"/>
        <s v="Independently Published"/>
        <s v="Hear Your Story Books"/>
        <s v="Scholastic Press"/>
        <s v="Norton"/>
        <s v="Flatiron Books"/>
        <s v="Walter Foster Jr."/>
        <s v="Hoover Ink"/>
        <s v="Atria Books"/>
        <s v="Grand Central Publishing"/>
        <s v="Viking"/>
        <s v="Knopf"/>
        <s v="Doubleday"/>
        <s v="Washington Square Press"/>
        <s v="Gallery Books"/>
        <s v="Crown"/>
        <s v="Harmony"/>
        <s v="Harriman House"/>
        <s v="Plata Publishing"/>
        <s v="HarperOne"/>
        <s v="Lioncrest Publishing"/>
        <s v="Ace"/>
        <s v="Tor Books"/>
        <s v="St. Martin's Press"/>
        <s v="Howard Books"/>
        <s v="Little, Brown"/>
        <s v="Chronicle Books"/>
        <s v="Workman Publishing"/>
        <s v="Hachette Book Group"/>
        <s v="Convergent Books"/>
        <s v="Macmillan Publishers"/>
        <s v="Baker Books"/>
        <s v="WaterBrook"/>
        <s v="Zondervan"/>
        <s v="Scribner"/>
        <s v="Simon &amp; Schuster"/>
        <s v="Riverhead Books"/>
        <s v="Vintage"/>
        <s v="Anchor Books"/>
        <s v="Thomas Nelson"/>
        <s v="IVP Books"/>
        <s v="HarperCollins"/>
        <s v="NavPress"/>
        <s v="Algonquin Books"/>
        <s v="Putnam"/>
        <s v="Rodale Books"/>
      </sharedItems>
    </cacheField>
    <cacheField name="Year Published" numFmtId="0">
      <sharedItems containsSemiMixedTypes="0" containsString="0" containsNumber="1" containsInteger="1" minValue="1965" maxValue="2026" count="21">
        <n v="2024"/>
        <n v="2025"/>
        <n v="2021"/>
        <n v="2018"/>
        <n v="2015"/>
        <n v="2023"/>
        <n v="2014"/>
        <n v="1990"/>
        <n v="2026"/>
        <n v="2019"/>
        <n v="2010"/>
        <n v="2022"/>
        <n v="2016"/>
        <n v="2020"/>
        <n v="2017"/>
        <n v="1997"/>
        <n v="1965"/>
        <n v="1985"/>
        <n v="2012"/>
        <n v="2013"/>
        <n v="2011"/>
      </sharedItems>
    </cacheField>
    <cacheField name="ISBN" numFmtId="0">
      <sharedItems/>
    </cacheField>
    <cacheField name="Amazon BSR" numFmtId="0">
      <sharedItems containsSemiMixedTypes="0" containsString="0" containsNumber="1" containsInteger="1" minValue="30" maxValue="9600"/>
    </cacheField>
    <cacheField name="Amazon 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x v="0"/>
    <n v="14.99"/>
    <n v="4.7"/>
    <n v="98000"/>
    <n v="52"/>
    <x v="0"/>
    <x v="0"/>
    <s v="978-1-13278-859-4"/>
    <n v="112"/>
    <s v="View"/>
  </r>
  <r>
    <n v="2"/>
    <x v="1"/>
    <x v="1"/>
    <x v="1"/>
    <x v="1"/>
    <x v="0"/>
    <n v="11.69"/>
    <n v="4.3"/>
    <n v="1800"/>
    <n v="12"/>
    <x v="1"/>
    <x v="1"/>
    <s v="978-3-76237-716-0"/>
    <n v="175"/>
    <s v="View"/>
  </r>
  <r>
    <n v="3"/>
    <x v="2"/>
    <x v="2"/>
    <x v="1"/>
    <x v="2"/>
    <x v="0"/>
    <n v="12.99"/>
    <n v="4.8"/>
    <n v="130000"/>
    <n v="108"/>
    <x v="2"/>
    <x v="2"/>
    <s v="978-4-30379-320-5"/>
    <n v="64"/>
    <s v="View"/>
  </r>
  <r>
    <n v="4"/>
    <x v="3"/>
    <x v="3"/>
    <x v="1"/>
    <x v="3"/>
    <x v="1"/>
    <n v="19.579999999999998"/>
    <n v="4.5999999999999996"/>
    <n v="87363"/>
    <n v="28"/>
    <x v="3"/>
    <x v="1"/>
    <s v="978-6-20328-665-4"/>
    <n v="143"/>
    <s v="View"/>
  </r>
  <r>
    <n v="5"/>
    <x v="4"/>
    <x v="4"/>
    <x v="0"/>
    <x v="4"/>
    <x v="0"/>
    <n v="16.989999999999998"/>
    <n v="4.8"/>
    <n v="120000"/>
    <n v="220"/>
    <x v="4"/>
    <x v="3"/>
    <s v="978-7-93320-954-5"/>
    <n v="237"/>
    <s v="View"/>
  </r>
  <r>
    <n v="6"/>
    <x v="5"/>
    <x v="5"/>
    <x v="1"/>
    <x v="5"/>
    <x v="0"/>
    <n v="11.99"/>
    <n v="4.7"/>
    <n v="85000"/>
    <n v="260"/>
    <x v="5"/>
    <x v="4"/>
    <s v="978-6-45382-755-8"/>
    <n v="468"/>
    <s v="View"/>
  </r>
  <r>
    <n v="7"/>
    <x v="6"/>
    <x v="5"/>
    <x v="1"/>
    <x v="5"/>
    <x v="1"/>
    <n v="22.49"/>
    <n v="4.8"/>
    <n v="42000"/>
    <n v="32"/>
    <x v="5"/>
    <x v="0"/>
    <s v="978-9-51245-317-7"/>
    <n v="460"/>
    <s v="View"/>
  </r>
  <r>
    <n v="8"/>
    <x v="7"/>
    <x v="6"/>
    <x v="1"/>
    <x v="5"/>
    <x v="1"/>
    <n v="18.989999999999998"/>
    <n v="4.5999999999999996"/>
    <n v="77000"/>
    <n v="50"/>
    <x v="6"/>
    <x v="5"/>
    <s v="978-9-62350-470-3"/>
    <n v="198"/>
    <s v="View"/>
  </r>
  <r>
    <n v="9"/>
    <x v="8"/>
    <x v="7"/>
    <x v="0"/>
    <x v="6"/>
    <x v="0"/>
    <n v="16.489999999999998"/>
    <n v="4.7"/>
    <n v="95000"/>
    <n v="150"/>
    <x v="7"/>
    <x v="6"/>
    <s v="978-6-88104-579-8"/>
    <n v="81"/>
    <s v="View"/>
  </r>
  <r>
    <n v="10"/>
    <x v="9"/>
    <x v="8"/>
    <x v="0"/>
    <x v="7"/>
    <x v="1"/>
    <n v="21.99"/>
    <n v="4.5"/>
    <n v="18000"/>
    <n v="28"/>
    <x v="8"/>
    <x v="0"/>
    <s v="978-7-10425-839-4"/>
    <n v="277"/>
    <s v="View"/>
  </r>
  <r>
    <n v="11"/>
    <x v="10"/>
    <x v="9"/>
    <x v="1"/>
    <x v="8"/>
    <x v="1"/>
    <n v="9.49"/>
    <n v="4.9000000000000004"/>
    <n v="12000"/>
    <n v="15"/>
    <x v="9"/>
    <x v="0"/>
    <s v="978-8-10074-713-5"/>
    <n v="375"/>
    <s v="View"/>
  </r>
  <r>
    <n v="12"/>
    <x v="11"/>
    <x v="10"/>
    <x v="1"/>
    <x v="9"/>
    <x v="1"/>
    <n v="12.99"/>
    <n v="4.9000000000000004"/>
    <n v="60000"/>
    <n v="1200"/>
    <x v="3"/>
    <x v="7"/>
    <s v="978-7-19071-878-8"/>
    <n v="387"/>
    <s v="View"/>
  </r>
  <r>
    <n v="13"/>
    <x v="12"/>
    <x v="11"/>
    <x v="1"/>
    <x v="1"/>
    <x v="1"/>
    <n v="19.989999999999998"/>
    <n v="4.2"/>
    <n v="3500"/>
    <n v="8"/>
    <x v="10"/>
    <x v="8"/>
    <s v="978-3-50857-508-5"/>
    <n v="118"/>
    <s v="View"/>
  </r>
  <r>
    <n v="14"/>
    <x v="13"/>
    <x v="12"/>
    <x v="0"/>
    <x v="10"/>
    <x v="0"/>
    <n v="9.99"/>
    <n v="4.5999999999999996"/>
    <n v="22000"/>
    <n v="40"/>
    <x v="11"/>
    <x v="5"/>
    <s v="978-9-38864-107-1"/>
    <n v="110"/>
    <s v="View"/>
  </r>
  <r>
    <n v="15"/>
    <x v="14"/>
    <x v="13"/>
    <x v="0"/>
    <x v="11"/>
    <x v="1"/>
    <n v="14.99"/>
    <n v="4.8"/>
    <n v="45000"/>
    <n v="130"/>
    <x v="12"/>
    <x v="9"/>
    <s v="978-8-27342-840-9"/>
    <n v="211"/>
    <s v="View"/>
  </r>
  <r>
    <n v="16"/>
    <x v="15"/>
    <x v="14"/>
    <x v="1"/>
    <x v="12"/>
    <x v="0"/>
    <n v="24.99"/>
    <n v="4.8"/>
    <n v="55000"/>
    <n v="350"/>
    <x v="13"/>
    <x v="10"/>
    <s v="978-7-17100-789-1"/>
    <n v="217"/>
    <s v="View"/>
  </r>
  <r>
    <n v="17"/>
    <x v="16"/>
    <x v="15"/>
    <x v="0"/>
    <x v="13"/>
    <x v="1"/>
    <n v="20"/>
    <n v="4.5"/>
    <n v="5400"/>
    <n v="14"/>
    <x v="14"/>
    <x v="1"/>
    <s v="978-2-46509-573-3"/>
    <n v="209"/>
    <s v="View"/>
  </r>
  <r>
    <n v="18"/>
    <x v="17"/>
    <x v="16"/>
    <x v="1"/>
    <x v="14"/>
    <x v="1"/>
    <n v="21"/>
    <n v="4.5999999999999996"/>
    <n v="31000"/>
    <n v="20"/>
    <x v="2"/>
    <x v="1"/>
    <s v="978-7-73092-318-6"/>
    <n v="339"/>
    <s v="View"/>
  </r>
  <r>
    <n v="19"/>
    <x v="18"/>
    <x v="17"/>
    <x v="1"/>
    <x v="15"/>
    <x v="1"/>
    <n v="22"/>
    <n v="4.4000000000000004"/>
    <n v="9800"/>
    <n v="18"/>
    <x v="15"/>
    <x v="0"/>
    <s v="978-7-30289-294-4"/>
    <n v="81"/>
    <s v="View"/>
  </r>
  <r>
    <n v="20"/>
    <x v="19"/>
    <x v="18"/>
    <x v="0"/>
    <x v="16"/>
    <x v="0"/>
    <n v="12.99"/>
    <n v="4.7"/>
    <n v="14000"/>
    <n v="22"/>
    <x v="16"/>
    <x v="5"/>
    <s v="978-0-76562-182-2"/>
    <n v="162"/>
    <s v="View"/>
  </r>
  <r>
    <n v="21"/>
    <x v="20"/>
    <x v="1"/>
    <x v="1"/>
    <x v="1"/>
    <x v="0"/>
    <n v="10.99"/>
    <n v="4.5"/>
    <n v="93000"/>
    <n v="93"/>
    <x v="1"/>
    <x v="11"/>
    <s v="978-4-36772-785-5"/>
    <n v="4613"/>
    <s v="View"/>
  </r>
  <r>
    <n v="22"/>
    <x v="21"/>
    <x v="1"/>
    <x v="1"/>
    <x v="1"/>
    <x v="0"/>
    <n v="11.99"/>
    <n v="4.4000000000000004"/>
    <n v="8200"/>
    <n v="18"/>
    <x v="1"/>
    <x v="1"/>
    <s v="978-1-19602-650-3"/>
    <n v="4451"/>
    <s v="View"/>
  </r>
  <r>
    <n v="23"/>
    <x v="22"/>
    <x v="6"/>
    <x v="1"/>
    <x v="5"/>
    <x v="1"/>
    <n v="21.99"/>
    <n v="4.7"/>
    <n v="55000"/>
    <n v="40"/>
    <x v="6"/>
    <x v="5"/>
    <s v="978-4-90173-926-8"/>
    <n v="2232"/>
    <s v="View"/>
  </r>
  <r>
    <n v="24"/>
    <x v="23"/>
    <x v="5"/>
    <x v="1"/>
    <x v="5"/>
    <x v="0"/>
    <n v="12.99"/>
    <n v="4.8"/>
    <n v="72000"/>
    <n v="150"/>
    <x v="5"/>
    <x v="2"/>
    <s v="978-4-89276-315-5"/>
    <n v="30"/>
    <s v="View"/>
  </r>
  <r>
    <n v="25"/>
    <x v="24"/>
    <x v="19"/>
    <x v="0"/>
    <x v="13"/>
    <x v="1"/>
    <n v="18"/>
    <n v="4.2"/>
    <n v="41000"/>
    <n v="60"/>
    <x v="3"/>
    <x v="5"/>
    <s v="978-5-27146-752-4"/>
    <n v="296"/>
    <s v="View"/>
  </r>
  <r>
    <n v="26"/>
    <x v="25"/>
    <x v="20"/>
    <x v="1"/>
    <x v="17"/>
    <x v="0"/>
    <n v="10.99"/>
    <n v="4.3"/>
    <n v="28000"/>
    <n v="80"/>
    <x v="17"/>
    <x v="5"/>
    <s v="978-5-86350-665-2"/>
    <n v="2898"/>
    <s v="View"/>
  </r>
  <r>
    <n v="27"/>
    <x v="26"/>
    <x v="20"/>
    <x v="1"/>
    <x v="17"/>
    <x v="0"/>
    <n v="10.49"/>
    <n v="4.3"/>
    <n v="220000"/>
    <n v="200"/>
    <x v="18"/>
    <x v="12"/>
    <s v="978-8-63264-735-2"/>
    <n v="1305"/>
    <s v="View"/>
  </r>
  <r>
    <n v="28"/>
    <x v="27"/>
    <x v="20"/>
    <x v="1"/>
    <x v="17"/>
    <x v="0"/>
    <n v="9.99"/>
    <n v="4.2"/>
    <n v="130000"/>
    <n v="140"/>
    <x v="18"/>
    <x v="6"/>
    <s v="978-1-60140-993-0"/>
    <n v="3265"/>
    <s v="View"/>
  </r>
  <r>
    <n v="29"/>
    <x v="28"/>
    <x v="20"/>
    <x v="1"/>
    <x v="1"/>
    <x v="0"/>
    <n v="11.49"/>
    <n v="4.5"/>
    <n v="150000"/>
    <n v="120"/>
    <x v="19"/>
    <x v="11"/>
    <s v="978-5-46517-985-1"/>
    <n v="4757"/>
    <s v="View"/>
  </r>
  <r>
    <n v="30"/>
    <x v="29"/>
    <x v="20"/>
    <x v="1"/>
    <x v="17"/>
    <x v="0"/>
    <n v="10.99"/>
    <n v="4.4000000000000004"/>
    <n v="85000"/>
    <n v="160"/>
    <x v="18"/>
    <x v="4"/>
    <s v="978-4-15014-211-9"/>
    <n v="3573"/>
    <s v="View"/>
  </r>
  <r>
    <n v="31"/>
    <x v="30"/>
    <x v="21"/>
    <x v="1"/>
    <x v="3"/>
    <x v="0"/>
    <n v="12.99"/>
    <n v="4.2"/>
    <n v="88000"/>
    <n v="90"/>
    <x v="20"/>
    <x v="13"/>
    <s v="978-0-78146-925-8"/>
    <n v="3346"/>
    <s v="View"/>
  </r>
  <r>
    <n v="32"/>
    <x v="31"/>
    <x v="22"/>
    <x v="1"/>
    <x v="3"/>
    <x v="0"/>
    <n v="14.99"/>
    <n v="4.4000000000000004"/>
    <n v="62000"/>
    <n v="75"/>
    <x v="21"/>
    <x v="11"/>
    <s v="978-5-62743-813-4"/>
    <n v="2490"/>
    <s v="View"/>
  </r>
  <r>
    <n v="33"/>
    <x v="32"/>
    <x v="23"/>
    <x v="1"/>
    <x v="14"/>
    <x v="0"/>
    <n v="14.49"/>
    <n v="4.5"/>
    <n v="105000"/>
    <n v="80"/>
    <x v="22"/>
    <x v="11"/>
    <s v="978-4-37549-540-9"/>
    <n v="4223"/>
    <s v="View"/>
  </r>
  <r>
    <n v="34"/>
    <x v="33"/>
    <x v="16"/>
    <x v="1"/>
    <x v="14"/>
    <x v="0"/>
    <n v="11.99"/>
    <n v="4.5999999999999996"/>
    <n v="145000"/>
    <n v="120"/>
    <x v="23"/>
    <x v="14"/>
    <s v="978-9-53933-195-3"/>
    <n v="3396"/>
    <s v="View"/>
  </r>
  <r>
    <n v="35"/>
    <x v="34"/>
    <x v="16"/>
    <x v="1"/>
    <x v="14"/>
    <x v="0"/>
    <n v="12.99"/>
    <n v="4.4000000000000004"/>
    <n v="68000"/>
    <n v="95"/>
    <x v="2"/>
    <x v="9"/>
    <s v="978-9-35485-835-6"/>
    <n v="3806"/>
    <s v="View"/>
  </r>
  <r>
    <n v="36"/>
    <x v="35"/>
    <x v="16"/>
    <x v="1"/>
    <x v="14"/>
    <x v="0"/>
    <n v="13.49"/>
    <n v="4.4000000000000004"/>
    <n v="50000"/>
    <n v="70"/>
    <x v="2"/>
    <x v="2"/>
    <s v="978-0-83060-355-1"/>
    <n v="3653"/>
    <s v="View"/>
  </r>
  <r>
    <n v="37"/>
    <x v="36"/>
    <x v="24"/>
    <x v="0"/>
    <x v="18"/>
    <x v="1"/>
    <n v="20"/>
    <n v="4.4000000000000004"/>
    <n v="37000"/>
    <n v="40"/>
    <x v="24"/>
    <x v="5"/>
    <s v="978-2-72216-560-4"/>
    <n v="2226"/>
    <s v="View"/>
  </r>
  <r>
    <n v="38"/>
    <x v="37"/>
    <x v="25"/>
    <x v="0"/>
    <x v="18"/>
    <x v="1"/>
    <n v="17.989999999999998"/>
    <n v="4.5"/>
    <n v="53000"/>
    <n v="100"/>
    <x v="25"/>
    <x v="13"/>
    <s v="978-5-51904-653-1"/>
    <n v="4446"/>
    <s v="View"/>
  </r>
  <r>
    <n v="39"/>
    <x v="38"/>
    <x v="26"/>
    <x v="0"/>
    <x v="19"/>
    <x v="0"/>
    <n v="15.99"/>
    <n v="4.5999999999999996"/>
    <n v="40000"/>
    <n v="80"/>
    <x v="20"/>
    <x v="2"/>
    <s v="978-7-64496-163-3"/>
    <n v="4410"/>
    <s v="View"/>
  </r>
  <r>
    <n v="40"/>
    <x v="39"/>
    <x v="27"/>
    <x v="0"/>
    <x v="20"/>
    <x v="1"/>
    <n v="22"/>
    <n v="4.7"/>
    <n v="32000"/>
    <n v="45"/>
    <x v="26"/>
    <x v="5"/>
    <s v="978-8-89069-325-7"/>
    <n v="1046"/>
    <s v="View"/>
  </r>
  <r>
    <n v="41"/>
    <x v="40"/>
    <x v="28"/>
    <x v="0"/>
    <x v="21"/>
    <x v="1"/>
    <n v="19.989999999999998"/>
    <n v="4.5999999999999996"/>
    <n v="28000"/>
    <n v="55"/>
    <x v="22"/>
    <x v="5"/>
    <s v="978-9-80008-127-6"/>
    <n v="1734"/>
    <s v="View"/>
  </r>
  <r>
    <n v="42"/>
    <x v="41"/>
    <x v="28"/>
    <x v="0"/>
    <x v="22"/>
    <x v="0"/>
    <n v="14.99"/>
    <n v="4.5999999999999996"/>
    <n v="55000"/>
    <n v="150"/>
    <x v="22"/>
    <x v="14"/>
    <s v="978-7-52840-445-6"/>
    <n v="563"/>
    <s v="View"/>
  </r>
  <r>
    <n v="43"/>
    <x v="42"/>
    <x v="29"/>
    <x v="0"/>
    <x v="23"/>
    <x v="1"/>
    <n v="26"/>
    <n v="4.5999999999999996"/>
    <n v="22000"/>
    <n v="60"/>
    <x v="8"/>
    <x v="5"/>
    <s v="978-0-14067-353-3"/>
    <n v="1375"/>
    <s v="View"/>
  </r>
  <r>
    <n v="44"/>
    <x v="43"/>
    <x v="30"/>
    <x v="0"/>
    <x v="24"/>
    <x v="1"/>
    <n v="19.989999999999998"/>
    <n v="4.7"/>
    <n v="18000"/>
    <n v="40"/>
    <x v="27"/>
    <x v="5"/>
    <s v="978-9-89593-865-1"/>
    <n v="835"/>
    <s v="View"/>
  </r>
  <r>
    <n v="45"/>
    <x v="44"/>
    <x v="30"/>
    <x v="0"/>
    <x v="24"/>
    <x v="0"/>
    <n v="14.99"/>
    <n v="4.7"/>
    <n v="65000"/>
    <n v="100"/>
    <x v="27"/>
    <x v="13"/>
    <s v="978-4-99687-714-1"/>
    <n v="4016"/>
    <s v="View"/>
  </r>
  <r>
    <n v="46"/>
    <x v="45"/>
    <x v="31"/>
    <x v="0"/>
    <x v="25"/>
    <x v="0"/>
    <n v="12.99"/>
    <n v="4.7"/>
    <n v="180000"/>
    <n v="400"/>
    <x v="28"/>
    <x v="15"/>
    <s v="978-1-66822-470-7"/>
    <n v="2641"/>
    <s v="View"/>
  </r>
  <r>
    <n v="47"/>
    <x v="46"/>
    <x v="32"/>
    <x v="0"/>
    <x v="0"/>
    <x v="0"/>
    <n v="13.99"/>
    <n v="4.5"/>
    <n v="115000"/>
    <n v="200"/>
    <x v="29"/>
    <x v="12"/>
    <s v="978-3-21359-385-7"/>
    <n v="2907"/>
    <s v="View"/>
  </r>
  <r>
    <n v="48"/>
    <x v="47"/>
    <x v="33"/>
    <x v="0"/>
    <x v="26"/>
    <x v="1"/>
    <n v="18.989999999999998"/>
    <n v="4.8"/>
    <n v="72000"/>
    <n v="130"/>
    <x v="30"/>
    <x v="3"/>
    <s v="978-4-54608-386-9"/>
    <n v="1969"/>
    <s v="View"/>
  </r>
  <r>
    <n v="49"/>
    <x v="48"/>
    <x v="34"/>
    <x v="1"/>
    <x v="2"/>
    <x v="0"/>
    <n v="13.99"/>
    <n v="4.7"/>
    <n v="90000"/>
    <n v="400"/>
    <x v="31"/>
    <x v="16"/>
    <s v="978-7-94659-828-7"/>
    <n v="4535"/>
    <s v="View"/>
  </r>
  <r>
    <n v="50"/>
    <x v="49"/>
    <x v="35"/>
    <x v="1"/>
    <x v="2"/>
    <x v="0"/>
    <n v="10.99"/>
    <n v="4.7"/>
    <n v="75000"/>
    <n v="350"/>
    <x v="32"/>
    <x v="17"/>
    <s v="978-8-55056-535-8"/>
    <n v="980"/>
    <s v="View"/>
  </r>
  <r>
    <n v="51"/>
    <x v="50"/>
    <x v="36"/>
    <x v="0"/>
    <x v="20"/>
    <x v="0"/>
    <n v="15.64"/>
    <n v="4.3"/>
    <n v="35382"/>
    <n v="43"/>
    <x v="13"/>
    <x v="9"/>
    <s v="978-3-48829-332-5"/>
    <n v="1571"/>
    <s v="View"/>
  </r>
  <r>
    <n v="52"/>
    <x v="51"/>
    <x v="37"/>
    <x v="0"/>
    <x v="11"/>
    <x v="1"/>
    <n v="22.72"/>
    <n v="4.7"/>
    <n v="13082"/>
    <n v="8"/>
    <x v="33"/>
    <x v="9"/>
    <s v="978-1-18564-510-7"/>
    <n v="710"/>
    <s v="View"/>
  </r>
  <r>
    <n v="53"/>
    <x v="52"/>
    <x v="38"/>
    <x v="0"/>
    <x v="27"/>
    <x v="0"/>
    <n v="14.29"/>
    <n v="4.0999999999999996"/>
    <n v="4947"/>
    <n v="44"/>
    <x v="13"/>
    <x v="8"/>
    <s v="978-3-91987-316-4"/>
    <n v="5516"/>
    <s v="View"/>
  </r>
  <r>
    <n v="54"/>
    <x v="53"/>
    <x v="39"/>
    <x v="1"/>
    <x v="28"/>
    <x v="0"/>
    <n v="16.73"/>
    <n v="4.5"/>
    <n v="5664"/>
    <n v="48"/>
    <x v="20"/>
    <x v="3"/>
    <s v="978-9-96662-923-3"/>
    <n v="3590"/>
    <s v="View"/>
  </r>
  <r>
    <n v="55"/>
    <x v="54"/>
    <x v="40"/>
    <x v="0"/>
    <x v="29"/>
    <x v="1"/>
    <n v="29.24"/>
    <n v="4.0999999999999996"/>
    <n v="6271"/>
    <n v="43"/>
    <x v="28"/>
    <x v="18"/>
    <s v="978-5-89129-356-0"/>
    <n v="858"/>
    <s v="View"/>
  </r>
  <r>
    <n v="56"/>
    <x v="55"/>
    <x v="41"/>
    <x v="0"/>
    <x v="30"/>
    <x v="1"/>
    <n v="22.3"/>
    <n v="4.4000000000000004"/>
    <n v="22040"/>
    <n v="47"/>
    <x v="2"/>
    <x v="4"/>
    <s v="978-5-63955-810-7"/>
    <n v="2473"/>
    <s v="View"/>
  </r>
  <r>
    <n v="57"/>
    <x v="56"/>
    <x v="42"/>
    <x v="0"/>
    <x v="20"/>
    <x v="1"/>
    <n v="19.43"/>
    <n v="4.0999999999999996"/>
    <n v="41986"/>
    <n v="33"/>
    <x v="25"/>
    <x v="1"/>
    <s v="978-4-81987-234-4"/>
    <n v="3703"/>
    <s v="View"/>
  </r>
  <r>
    <n v="58"/>
    <x v="57"/>
    <x v="43"/>
    <x v="1"/>
    <x v="12"/>
    <x v="2"/>
    <n v="27.94"/>
    <n v="4.7"/>
    <n v="11090"/>
    <n v="36"/>
    <x v="0"/>
    <x v="8"/>
    <s v="978-8-45838-525-7"/>
    <n v="3984"/>
    <s v="View"/>
  </r>
  <r>
    <n v="59"/>
    <x v="58"/>
    <x v="44"/>
    <x v="1"/>
    <x v="1"/>
    <x v="3"/>
    <n v="11.53"/>
    <n v="4.0999999999999996"/>
    <n v="10738"/>
    <n v="33"/>
    <x v="15"/>
    <x v="5"/>
    <s v="978-5-82340-881-8"/>
    <n v="3208"/>
    <s v="View"/>
  </r>
  <r>
    <n v="60"/>
    <x v="59"/>
    <x v="32"/>
    <x v="0"/>
    <x v="30"/>
    <x v="0"/>
    <n v="17.68"/>
    <n v="4.2"/>
    <n v="22757"/>
    <n v="60"/>
    <x v="29"/>
    <x v="4"/>
    <s v="978-1-78937-567-0"/>
    <n v="1300"/>
    <s v="View"/>
  </r>
  <r>
    <n v="61"/>
    <x v="60"/>
    <x v="45"/>
    <x v="0"/>
    <x v="30"/>
    <x v="0"/>
    <n v="9.61"/>
    <n v="4"/>
    <n v="15908"/>
    <n v="52"/>
    <x v="13"/>
    <x v="4"/>
    <s v="978-1-68153-270-4"/>
    <n v="359"/>
    <s v="View"/>
  </r>
  <r>
    <n v="62"/>
    <x v="61"/>
    <x v="46"/>
    <x v="1"/>
    <x v="14"/>
    <x v="2"/>
    <n v="27.38"/>
    <n v="4"/>
    <n v="16783"/>
    <n v="36"/>
    <x v="31"/>
    <x v="8"/>
    <s v="978-3-70443-753-4"/>
    <n v="3888"/>
    <s v="View"/>
  </r>
  <r>
    <n v="63"/>
    <x v="62"/>
    <x v="47"/>
    <x v="1"/>
    <x v="31"/>
    <x v="4"/>
    <n v="13.96"/>
    <n v="4.5999999999999996"/>
    <n v="24524"/>
    <n v="41"/>
    <x v="34"/>
    <x v="9"/>
    <s v="978-4-12875-949-6"/>
    <n v="2374"/>
    <s v="View"/>
  </r>
  <r>
    <n v="64"/>
    <x v="63"/>
    <x v="48"/>
    <x v="1"/>
    <x v="31"/>
    <x v="1"/>
    <n v="24.52"/>
    <n v="4.5999999999999996"/>
    <n v="48995"/>
    <n v="13"/>
    <x v="0"/>
    <x v="4"/>
    <s v="978-5-64460-279-3"/>
    <n v="1210"/>
    <s v="View"/>
  </r>
  <r>
    <n v="65"/>
    <x v="64"/>
    <x v="49"/>
    <x v="1"/>
    <x v="32"/>
    <x v="4"/>
    <n v="14.01"/>
    <n v="4.3"/>
    <n v="37524"/>
    <n v="28"/>
    <x v="27"/>
    <x v="4"/>
    <s v="978-0-44663-649-1"/>
    <n v="3855"/>
    <s v="View"/>
  </r>
  <r>
    <n v="66"/>
    <x v="65"/>
    <x v="40"/>
    <x v="0"/>
    <x v="29"/>
    <x v="1"/>
    <n v="18.510000000000002"/>
    <n v="3.7"/>
    <n v="3971"/>
    <n v="7"/>
    <x v="35"/>
    <x v="9"/>
    <s v="978-1-22739-340-8"/>
    <n v="1243"/>
    <s v="View"/>
  </r>
  <r>
    <n v="67"/>
    <x v="66"/>
    <x v="38"/>
    <x v="0"/>
    <x v="27"/>
    <x v="4"/>
    <n v="13.98"/>
    <n v="4.7"/>
    <n v="36682"/>
    <n v="46"/>
    <x v="27"/>
    <x v="13"/>
    <s v="978-4-34878-225-7"/>
    <n v="884"/>
    <s v="View"/>
  </r>
  <r>
    <n v="68"/>
    <x v="67"/>
    <x v="50"/>
    <x v="1"/>
    <x v="33"/>
    <x v="3"/>
    <n v="11.09"/>
    <n v="4.5999999999999996"/>
    <n v="40058"/>
    <n v="5"/>
    <x v="31"/>
    <x v="9"/>
    <s v="978-2-80807-356-2"/>
    <n v="1036"/>
    <s v="View"/>
  </r>
  <r>
    <n v="69"/>
    <x v="68"/>
    <x v="51"/>
    <x v="0"/>
    <x v="24"/>
    <x v="3"/>
    <n v="8.2799999999999994"/>
    <n v="4.5"/>
    <n v="8146"/>
    <n v="33"/>
    <x v="36"/>
    <x v="11"/>
    <s v="978-0-96363-633-4"/>
    <n v="3890"/>
    <s v="View"/>
  </r>
  <r>
    <n v="70"/>
    <x v="69"/>
    <x v="52"/>
    <x v="1"/>
    <x v="34"/>
    <x v="0"/>
    <n v="14.69"/>
    <n v="4.0999999999999996"/>
    <n v="36937"/>
    <n v="50"/>
    <x v="37"/>
    <x v="13"/>
    <s v="978-8-48652-564-8"/>
    <n v="5099"/>
    <s v="View"/>
  </r>
  <r>
    <n v="71"/>
    <x v="70"/>
    <x v="53"/>
    <x v="0"/>
    <x v="0"/>
    <x v="0"/>
    <n v="11.28"/>
    <n v="4.8"/>
    <n v="32081"/>
    <n v="9"/>
    <x v="38"/>
    <x v="4"/>
    <s v="978-1-66606-198-5"/>
    <n v="1207"/>
    <s v="View"/>
  </r>
  <r>
    <n v="72"/>
    <x v="71"/>
    <x v="17"/>
    <x v="1"/>
    <x v="3"/>
    <x v="1"/>
    <n v="19"/>
    <n v="4.3"/>
    <n v="32600"/>
    <n v="19"/>
    <x v="15"/>
    <x v="1"/>
    <s v="978-8-58176-217-4"/>
    <n v="4847"/>
    <s v="View"/>
  </r>
  <r>
    <n v="73"/>
    <x v="72"/>
    <x v="54"/>
    <x v="1"/>
    <x v="35"/>
    <x v="1"/>
    <n v="22.2"/>
    <n v="4.5999999999999996"/>
    <n v="3009"/>
    <n v="10"/>
    <x v="25"/>
    <x v="1"/>
    <s v="978-6-65028-564-5"/>
    <n v="1435"/>
    <s v="View"/>
  </r>
  <r>
    <n v="74"/>
    <x v="73"/>
    <x v="38"/>
    <x v="0"/>
    <x v="36"/>
    <x v="1"/>
    <n v="19.79"/>
    <n v="4.7"/>
    <n v="34577"/>
    <n v="12"/>
    <x v="5"/>
    <x v="13"/>
    <s v="978-4-98895-794-9"/>
    <n v="4134"/>
    <s v="View"/>
  </r>
  <r>
    <n v="75"/>
    <x v="74"/>
    <x v="55"/>
    <x v="0"/>
    <x v="0"/>
    <x v="0"/>
    <n v="15.71"/>
    <n v="4.5"/>
    <n v="47115"/>
    <n v="19"/>
    <x v="39"/>
    <x v="11"/>
    <s v="978-5-19447-506-0"/>
    <n v="3723"/>
    <s v="View"/>
  </r>
  <r>
    <n v="76"/>
    <x v="75"/>
    <x v="41"/>
    <x v="0"/>
    <x v="6"/>
    <x v="1"/>
    <n v="18.37"/>
    <n v="4.5999999999999996"/>
    <n v="29552"/>
    <n v="42"/>
    <x v="38"/>
    <x v="2"/>
    <s v="978-6-50668-863-5"/>
    <n v="1967"/>
    <s v="View"/>
  </r>
  <r>
    <n v="77"/>
    <x v="76"/>
    <x v="56"/>
    <x v="1"/>
    <x v="32"/>
    <x v="0"/>
    <n v="14.41"/>
    <n v="4.4000000000000004"/>
    <n v="12609"/>
    <n v="54"/>
    <x v="11"/>
    <x v="0"/>
    <s v="978-9-85952-559-9"/>
    <n v="5421"/>
    <s v="View"/>
  </r>
  <r>
    <n v="78"/>
    <x v="77"/>
    <x v="26"/>
    <x v="0"/>
    <x v="37"/>
    <x v="0"/>
    <n v="13.06"/>
    <n v="4"/>
    <n v="4728"/>
    <n v="28"/>
    <x v="40"/>
    <x v="1"/>
    <s v="978-1-90610-708-8"/>
    <n v="3305"/>
    <s v="View"/>
  </r>
  <r>
    <n v="79"/>
    <x v="78"/>
    <x v="57"/>
    <x v="1"/>
    <x v="14"/>
    <x v="1"/>
    <n v="17.5"/>
    <n v="4.2"/>
    <n v="35345"/>
    <n v="38"/>
    <x v="10"/>
    <x v="5"/>
    <s v="978-5-47079-496-6"/>
    <n v="2929"/>
    <s v="View"/>
  </r>
  <r>
    <n v="80"/>
    <x v="79"/>
    <x v="58"/>
    <x v="0"/>
    <x v="10"/>
    <x v="2"/>
    <n v="21.19"/>
    <n v="3.7"/>
    <n v="43995"/>
    <n v="49"/>
    <x v="32"/>
    <x v="0"/>
    <s v="978-9-21104-417-8"/>
    <n v="3245"/>
    <s v="View"/>
  </r>
  <r>
    <n v="81"/>
    <x v="80"/>
    <x v="59"/>
    <x v="0"/>
    <x v="25"/>
    <x v="0"/>
    <n v="17.989999999999998"/>
    <n v="4.5"/>
    <n v="7628"/>
    <n v="37"/>
    <x v="41"/>
    <x v="1"/>
    <s v="978-8-14947-777-5"/>
    <n v="5224"/>
    <s v="View"/>
  </r>
  <r>
    <n v="82"/>
    <x v="81"/>
    <x v="60"/>
    <x v="0"/>
    <x v="27"/>
    <x v="1"/>
    <n v="21.01"/>
    <n v="4.5999999999999996"/>
    <n v="31737"/>
    <n v="58"/>
    <x v="42"/>
    <x v="14"/>
    <s v="978-9-67749-572-4"/>
    <n v="3292"/>
    <s v="View"/>
  </r>
  <r>
    <n v="83"/>
    <x v="82"/>
    <x v="35"/>
    <x v="1"/>
    <x v="28"/>
    <x v="3"/>
    <n v="6.45"/>
    <n v="4.5"/>
    <n v="29670"/>
    <n v="10"/>
    <x v="21"/>
    <x v="8"/>
    <s v="978-7-55820-127-6"/>
    <n v="602"/>
    <s v="View"/>
  </r>
  <r>
    <n v="84"/>
    <x v="83"/>
    <x v="44"/>
    <x v="1"/>
    <x v="17"/>
    <x v="2"/>
    <n v="24.44"/>
    <n v="4.3"/>
    <n v="10095"/>
    <n v="53"/>
    <x v="29"/>
    <x v="0"/>
    <s v="978-9-10688-181-0"/>
    <n v="2264"/>
    <s v="View"/>
  </r>
  <r>
    <n v="85"/>
    <x v="84"/>
    <x v="61"/>
    <x v="0"/>
    <x v="38"/>
    <x v="0"/>
    <n v="16.52"/>
    <n v="4.0999999999999996"/>
    <n v="42415"/>
    <n v="37"/>
    <x v="43"/>
    <x v="5"/>
    <s v="978-2-48177-539-0"/>
    <n v="5206"/>
    <s v="View"/>
  </r>
  <r>
    <n v="86"/>
    <x v="85"/>
    <x v="62"/>
    <x v="1"/>
    <x v="5"/>
    <x v="2"/>
    <n v="15.86"/>
    <n v="4.4000000000000004"/>
    <n v="26354"/>
    <n v="28"/>
    <x v="7"/>
    <x v="9"/>
    <s v="978-5-18855-453-3"/>
    <n v="5554"/>
    <s v="View"/>
  </r>
  <r>
    <n v="87"/>
    <x v="86"/>
    <x v="63"/>
    <x v="1"/>
    <x v="34"/>
    <x v="3"/>
    <n v="8.11"/>
    <n v="4.4000000000000004"/>
    <n v="14072"/>
    <n v="7"/>
    <x v="1"/>
    <x v="13"/>
    <s v="978-8-62196-934-8"/>
    <n v="4052"/>
    <s v="View"/>
  </r>
  <r>
    <n v="88"/>
    <x v="87"/>
    <x v="64"/>
    <x v="0"/>
    <x v="27"/>
    <x v="0"/>
    <n v="10.67"/>
    <n v="4.5"/>
    <n v="46355"/>
    <n v="36"/>
    <x v="44"/>
    <x v="13"/>
    <s v="978-4-20828-844-6"/>
    <n v="822"/>
    <s v="View"/>
  </r>
  <r>
    <n v="89"/>
    <x v="88"/>
    <x v="65"/>
    <x v="0"/>
    <x v="27"/>
    <x v="1"/>
    <n v="26.44"/>
    <n v="4.7"/>
    <n v="29504"/>
    <n v="22"/>
    <x v="45"/>
    <x v="0"/>
    <s v="978-1-97973-752-6"/>
    <n v="3154"/>
    <s v="View"/>
  </r>
  <r>
    <n v="90"/>
    <x v="89"/>
    <x v="66"/>
    <x v="0"/>
    <x v="36"/>
    <x v="1"/>
    <n v="29.32"/>
    <n v="4.2"/>
    <n v="25380"/>
    <n v="33"/>
    <x v="46"/>
    <x v="1"/>
    <s v="978-2-79397-475-6"/>
    <n v="2755"/>
    <s v="View"/>
  </r>
  <r>
    <n v="91"/>
    <x v="90"/>
    <x v="46"/>
    <x v="1"/>
    <x v="15"/>
    <x v="0"/>
    <n v="17.239999999999998"/>
    <n v="4.3"/>
    <n v="5853"/>
    <n v="33"/>
    <x v="43"/>
    <x v="14"/>
    <s v="978-7-21506-929-5"/>
    <n v="5652"/>
    <s v="View"/>
  </r>
  <r>
    <n v="92"/>
    <x v="91"/>
    <x v="67"/>
    <x v="1"/>
    <x v="39"/>
    <x v="3"/>
    <n v="4.2300000000000004"/>
    <n v="4.4000000000000004"/>
    <n v="37308"/>
    <n v="41"/>
    <x v="47"/>
    <x v="13"/>
    <s v="978-2-90209-188-1"/>
    <n v="2717"/>
    <s v="View"/>
  </r>
  <r>
    <n v="93"/>
    <x v="92"/>
    <x v="68"/>
    <x v="1"/>
    <x v="39"/>
    <x v="1"/>
    <n v="24.63"/>
    <n v="4.4000000000000004"/>
    <n v="33955"/>
    <n v="60"/>
    <x v="5"/>
    <x v="19"/>
    <s v="978-8-30056-411-2"/>
    <n v="1512"/>
    <s v="View"/>
  </r>
  <r>
    <n v="94"/>
    <x v="93"/>
    <x v="69"/>
    <x v="0"/>
    <x v="38"/>
    <x v="0"/>
    <n v="14.76"/>
    <n v="4.3"/>
    <n v="39784"/>
    <n v="42"/>
    <x v="39"/>
    <x v="14"/>
    <s v="978-9-89316-445-9"/>
    <n v="525"/>
    <s v="View"/>
  </r>
  <r>
    <n v="95"/>
    <x v="94"/>
    <x v="70"/>
    <x v="1"/>
    <x v="40"/>
    <x v="1"/>
    <n v="22.89"/>
    <n v="4.3"/>
    <n v="28238"/>
    <n v="35"/>
    <x v="6"/>
    <x v="11"/>
    <s v="978-9-28830-420-5"/>
    <n v="3019"/>
    <s v="View"/>
  </r>
  <r>
    <n v="96"/>
    <x v="95"/>
    <x v="71"/>
    <x v="1"/>
    <x v="32"/>
    <x v="0"/>
    <n v="17.5"/>
    <n v="4.3"/>
    <n v="41329"/>
    <n v="31"/>
    <x v="2"/>
    <x v="3"/>
    <s v="978-5-85718-838-5"/>
    <n v="1747"/>
    <s v="View"/>
  </r>
  <r>
    <n v="97"/>
    <x v="96"/>
    <x v="72"/>
    <x v="1"/>
    <x v="15"/>
    <x v="0"/>
    <n v="9.44"/>
    <n v="3.9"/>
    <n v="43877"/>
    <n v="48"/>
    <x v="48"/>
    <x v="11"/>
    <s v="978-0-24089-541-2"/>
    <n v="2360"/>
    <s v="View"/>
  </r>
  <r>
    <n v="98"/>
    <x v="97"/>
    <x v="73"/>
    <x v="0"/>
    <x v="37"/>
    <x v="3"/>
    <n v="6.51"/>
    <n v="4.4000000000000004"/>
    <n v="41844"/>
    <n v="48"/>
    <x v="32"/>
    <x v="5"/>
    <s v="978-1-61629-482-5"/>
    <n v="4765"/>
    <s v="View"/>
  </r>
  <r>
    <n v="99"/>
    <x v="98"/>
    <x v="66"/>
    <x v="0"/>
    <x v="29"/>
    <x v="1"/>
    <n v="23.69"/>
    <n v="4.2"/>
    <n v="11649"/>
    <n v="30"/>
    <x v="41"/>
    <x v="8"/>
    <s v="978-4-87820-444-8"/>
    <n v="4373"/>
    <s v="View"/>
  </r>
  <r>
    <n v="100"/>
    <x v="99"/>
    <x v="74"/>
    <x v="0"/>
    <x v="10"/>
    <x v="0"/>
    <n v="9.4499999999999993"/>
    <n v="4.7"/>
    <n v="32486"/>
    <n v="15"/>
    <x v="49"/>
    <x v="11"/>
    <s v="978-9-59832-251-3"/>
    <n v="458"/>
    <s v="View"/>
  </r>
  <r>
    <n v="101"/>
    <x v="100"/>
    <x v="39"/>
    <x v="1"/>
    <x v="2"/>
    <x v="0"/>
    <n v="10.86"/>
    <n v="4.2"/>
    <n v="8809"/>
    <n v="14"/>
    <x v="18"/>
    <x v="13"/>
    <s v="978-7-79878-450-8"/>
    <n v="3104"/>
    <s v="View"/>
  </r>
  <r>
    <n v="102"/>
    <x v="101"/>
    <x v="75"/>
    <x v="0"/>
    <x v="30"/>
    <x v="1"/>
    <n v="24.28"/>
    <n v="4.7"/>
    <n v="13231"/>
    <n v="25"/>
    <x v="5"/>
    <x v="9"/>
    <s v="978-9-98686-656-6"/>
    <n v="3436"/>
    <s v="View"/>
  </r>
  <r>
    <n v="103"/>
    <x v="102"/>
    <x v="76"/>
    <x v="1"/>
    <x v="9"/>
    <x v="1"/>
    <n v="18.77"/>
    <n v="4.2"/>
    <n v="4172"/>
    <n v="3"/>
    <x v="44"/>
    <x v="0"/>
    <s v="978-3-93616-338-0"/>
    <n v="1026"/>
    <s v="View"/>
  </r>
  <r>
    <n v="104"/>
    <x v="103"/>
    <x v="77"/>
    <x v="1"/>
    <x v="28"/>
    <x v="0"/>
    <n v="15.91"/>
    <n v="4.2"/>
    <n v="10887"/>
    <n v="20"/>
    <x v="41"/>
    <x v="3"/>
    <s v="978-0-32946-527-2"/>
    <n v="505"/>
    <s v="View"/>
  </r>
  <r>
    <n v="105"/>
    <x v="104"/>
    <x v="78"/>
    <x v="0"/>
    <x v="24"/>
    <x v="2"/>
    <n v="17.670000000000002"/>
    <n v="4.2"/>
    <n v="13451"/>
    <n v="5"/>
    <x v="49"/>
    <x v="13"/>
    <s v="978-7-94972-363-2"/>
    <n v="325"/>
    <s v="View"/>
  </r>
  <r>
    <n v="106"/>
    <x v="105"/>
    <x v="79"/>
    <x v="1"/>
    <x v="39"/>
    <x v="0"/>
    <n v="11.22"/>
    <n v="4.4000000000000004"/>
    <n v="4472"/>
    <n v="14"/>
    <x v="50"/>
    <x v="3"/>
    <s v="978-4-53204-409-9"/>
    <n v="4905"/>
    <s v="View"/>
  </r>
  <r>
    <n v="107"/>
    <x v="106"/>
    <x v="80"/>
    <x v="1"/>
    <x v="28"/>
    <x v="1"/>
    <n v="19.84"/>
    <n v="4.5"/>
    <n v="12450"/>
    <n v="21"/>
    <x v="34"/>
    <x v="13"/>
    <s v="978-8-71712-875-8"/>
    <n v="5654"/>
    <s v="View"/>
  </r>
  <r>
    <n v="108"/>
    <x v="107"/>
    <x v="17"/>
    <x v="1"/>
    <x v="41"/>
    <x v="1"/>
    <n v="19.13"/>
    <n v="4.5"/>
    <n v="14199"/>
    <n v="18"/>
    <x v="42"/>
    <x v="2"/>
    <s v="978-3-86434-600-1"/>
    <n v="4396"/>
    <s v="View"/>
  </r>
  <r>
    <n v="109"/>
    <x v="108"/>
    <x v="1"/>
    <x v="1"/>
    <x v="42"/>
    <x v="3"/>
    <n v="9.19"/>
    <n v="4.5999999999999996"/>
    <n v="1244"/>
    <n v="19"/>
    <x v="40"/>
    <x v="8"/>
    <s v="978-7-14159-393-6"/>
    <n v="1692"/>
    <s v="View"/>
  </r>
  <r>
    <n v="110"/>
    <x v="109"/>
    <x v="81"/>
    <x v="1"/>
    <x v="35"/>
    <x v="0"/>
    <n v="10.14"/>
    <n v="4.5"/>
    <n v="3848"/>
    <n v="28"/>
    <x v="7"/>
    <x v="10"/>
    <s v="978-4-70686-789-8"/>
    <n v="3694"/>
    <s v="View"/>
  </r>
  <r>
    <n v="111"/>
    <x v="110"/>
    <x v="2"/>
    <x v="1"/>
    <x v="15"/>
    <x v="0"/>
    <n v="9.2899999999999991"/>
    <n v="4.0999999999999996"/>
    <n v="997"/>
    <n v="9"/>
    <x v="27"/>
    <x v="1"/>
    <s v="978-7-40715-652-3"/>
    <n v="684"/>
    <s v="View"/>
  </r>
  <r>
    <n v="112"/>
    <x v="111"/>
    <x v="76"/>
    <x v="1"/>
    <x v="2"/>
    <x v="2"/>
    <n v="32.58"/>
    <n v="4.2"/>
    <n v="3069"/>
    <n v="22"/>
    <x v="47"/>
    <x v="0"/>
    <s v="978-7-16145-452-6"/>
    <n v="4520"/>
    <s v="View"/>
  </r>
  <r>
    <n v="113"/>
    <x v="112"/>
    <x v="28"/>
    <x v="0"/>
    <x v="29"/>
    <x v="1"/>
    <n v="29.57"/>
    <n v="4.3"/>
    <n v="4178"/>
    <n v="10"/>
    <x v="26"/>
    <x v="3"/>
    <s v="978-1-68954-967-5"/>
    <n v="983"/>
    <s v="View"/>
  </r>
  <r>
    <n v="114"/>
    <x v="113"/>
    <x v="20"/>
    <x v="1"/>
    <x v="31"/>
    <x v="0"/>
    <n v="10.7"/>
    <n v="4.4000000000000004"/>
    <n v="12348"/>
    <n v="5"/>
    <x v="50"/>
    <x v="1"/>
    <s v="978-7-41797-812-9"/>
    <n v="5993"/>
    <s v="View"/>
  </r>
  <r>
    <n v="115"/>
    <x v="114"/>
    <x v="42"/>
    <x v="0"/>
    <x v="30"/>
    <x v="0"/>
    <n v="17.82"/>
    <n v="3.9"/>
    <n v="3528"/>
    <n v="13"/>
    <x v="51"/>
    <x v="13"/>
    <s v="978-9-39002-859-2"/>
    <n v="362"/>
    <s v="View"/>
  </r>
  <r>
    <n v="116"/>
    <x v="115"/>
    <x v="82"/>
    <x v="0"/>
    <x v="25"/>
    <x v="3"/>
    <n v="8.39"/>
    <n v="4.5"/>
    <n v="12054"/>
    <n v="22"/>
    <x v="11"/>
    <x v="1"/>
    <s v="978-2-56160-273-2"/>
    <n v="6132"/>
    <s v="View"/>
  </r>
  <r>
    <n v="117"/>
    <x v="116"/>
    <x v="57"/>
    <x v="1"/>
    <x v="15"/>
    <x v="1"/>
    <n v="17.78"/>
    <n v="4"/>
    <n v="8116"/>
    <n v="23"/>
    <x v="3"/>
    <x v="11"/>
    <s v="978-8-82305-521-0"/>
    <n v="371"/>
    <s v="View"/>
  </r>
  <r>
    <n v="118"/>
    <x v="117"/>
    <x v="83"/>
    <x v="1"/>
    <x v="41"/>
    <x v="1"/>
    <n v="27.59"/>
    <n v="4"/>
    <n v="4579"/>
    <n v="27"/>
    <x v="10"/>
    <x v="2"/>
    <s v="978-6-70161-678-3"/>
    <n v="5947"/>
    <s v="View"/>
  </r>
  <r>
    <n v="119"/>
    <x v="118"/>
    <x v="84"/>
    <x v="1"/>
    <x v="14"/>
    <x v="3"/>
    <n v="9.7899999999999991"/>
    <n v="4.0999999999999996"/>
    <n v="1762"/>
    <n v="30"/>
    <x v="51"/>
    <x v="5"/>
    <s v="978-3-37710-988-9"/>
    <n v="4133"/>
    <s v="View"/>
  </r>
  <r>
    <n v="120"/>
    <x v="119"/>
    <x v="3"/>
    <x v="1"/>
    <x v="43"/>
    <x v="0"/>
    <n v="16.5"/>
    <n v="5"/>
    <n v="6575"/>
    <n v="23"/>
    <x v="6"/>
    <x v="8"/>
    <s v="978-6-28343-909-1"/>
    <n v="4342"/>
    <s v="View"/>
  </r>
  <r>
    <n v="121"/>
    <x v="120"/>
    <x v="60"/>
    <x v="0"/>
    <x v="30"/>
    <x v="0"/>
    <n v="17.46"/>
    <n v="4.0999999999999996"/>
    <n v="11024"/>
    <n v="14"/>
    <x v="36"/>
    <x v="4"/>
    <s v="978-4-42302-830-1"/>
    <n v="914"/>
    <s v="View"/>
  </r>
  <r>
    <n v="122"/>
    <x v="121"/>
    <x v="85"/>
    <x v="1"/>
    <x v="9"/>
    <x v="0"/>
    <n v="10.68"/>
    <n v="4.5999999999999996"/>
    <n v="7553"/>
    <n v="19"/>
    <x v="30"/>
    <x v="5"/>
    <s v="978-1-13442-191-5"/>
    <n v="4784"/>
    <s v="View"/>
  </r>
  <r>
    <n v="123"/>
    <x v="122"/>
    <x v="8"/>
    <x v="0"/>
    <x v="13"/>
    <x v="0"/>
    <n v="11.7"/>
    <n v="4.3"/>
    <n v="7321"/>
    <n v="10"/>
    <x v="33"/>
    <x v="2"/>
    <s v="978-1-57333-357-3"/>
    <n v="6151"/>
    <s v="View"/>
  </r>
  <r>
    <n v="124"/>
    <x v="123"/>
    <x v="86"/>
    <x v="0"/>
    <x v="25"/>
    <x v="3"/>
    <n v="11.73"/>
    <n v="4.4000000000000004"/>
    <n v="9938"/>
    <n v="6"/>
    <x v="37"/>
    <x v="9"/>
    <s v="978-3-72784-421-2"/>
    <n v="3510"/>
    <s v="View"/>
  </r>
  <r>
    <n v="125"/>
    <x v="124"/>
    <x v="31"/>
    <x v="0"/>
    <x v="23"/>
    <x v="4"/>
    <n v="11.22"/>
    <n v="4.3"/>
    <n v="4973"/>
    <n v="28"/>
    <x v="30"/>
    <x v="0"/>
    <s v="978-7-28242-748-4"/>
    <n v="2232"/>
    <s v="View"/>
  </r>
  <r>
    <n v="126"/>
    <x v="125"/>
    <x v="69"/>
    <x v="0"/>
    <x v="6"/>
    <x v="1"/>
    <n v="28.88"/>
    <n v="4.0999999999999996"/>
    <n v="1991"/>
    <n v="26"/>
    <x v="39"/>
    <x v="3"/>
    <s v="978-5-31802-762-9"/>
    <n v="614"/>
    <s v="View"/>
  </r>
  <r>
    <n v="127"/>
    <x v="126"/>
    <x v="74"/>
    <x v="0"/>
    <x v="10"/>
    <x v="0"/>
    <n v="12.36"/>
    <n v="4"/>
    <n v="11512"/>
    <n v="18"/>
    <x v="7"/>
    <x v="12"/>
    <s v="978-7-23703-402-6"/>
    <n v="957"/>
    <s v="View"/>
  </r>
  <r>
    <n v="128"/>
    <x v="127"/>
    <x v="73"/>
    <x v="0"/>
    <x v="27"/>
    <x v="0"/>
    <n v="11.69"/>
    <n v="4.5"/>
    <n v="13474"/>
    <n v="24"/>
    <x v="6"/>
    <x v="12"/>
    <s v="978-1-98754-919-2"/>
    <n v="2254"/>
    <s v="View"/>
  </r>
  <r>
    <n v="129"/>
    <x v="128"/>
    <x v="87"/>
    <x v="1"/>
    <x v="5"/>
    <x v="1"/>
    <n v="19.559999999999999"/>
    <n v="4.2"/>
    <n v="11746"/>
    <n v="8"/>
    <x v="50"/>
    <x v="3"/>
    <s v="978-1-85674-204-8"/>
    <n v="1789"/>
    <s v="View"/>
  </r>
  <r>
    <n v="130"/>
    <x v="129"/>
    <x v="88"/>
    <x v="0"/>
    <x v="29"/>
    <x v="3"/>
    <n v="10.34"/>
    <n v="4.3"/>
    <n v="5073"/>
    <n v="21"/>
    <x v="42"/>
    <x v="5"/>
    <s v="978-2-51049-220-3"/>
    <n v="2761"/>
    <s v="View"/>
  </r>
  <r>
    <n v="131"/>
    <x v="130"/>
    <x v="8"/>
    <x v="0"/>
    <x v="23"/>
    <x v="1"/>
    <n v="18.809999999999999"/>
    <n v="4.3"/>
    <n v="1078"/>
    <n v="29"/>
    <x v="3"/>
    <x v="13"/>
    <s v="978-7-27895-299-6"/>
    <n v="4862"/>
    <s v="View"/>
  </r>
  <r>
    <n v="132"/>
    <x v="131"/>
    <x v="89"/>
    <x v="1"/>
    <x v="9"/>
    <x v="1"/>
    <n v="19.18"/>
    <n v="4.7"/>
    <n v="7692"/>
    <n v="20"/>
    <x v="52"/>
    <x v="1"/>
    <s v="978-7-82053-623-1"/>
    <n v="4955"/>
    <s v="View"/>
  </r>
  <r>
    <n v="133"/>
    <x v="132"/>
    <x v="90"/>
    <x v="1"/>
    <x v="17"/>
    <x v="0"/>
    <n v="16.75"/>
    <n v="4.8"/>
    <n v="2123"/>
    <n v="26"/>
    <x v="25"/>
    <x v="1"/>
    <s v="978-9-55957-981-9"/>
    <n v="5449"/>
    <s v="View"/>
  </r>
  <r>
    <n v="134"/>
    <x v="133"/>
    <x v="17"/>
    <x v="1"/>
    <x v="28"/>
    <x v="0"/>
    <n v="16.71"/>
    <n v="4.7"/>
    <n v="14948"/>
    <n v="23"/>
    <x v="32"/>
    <x v="1"/>
    <s v="978-6-17770-383-2"/>
    <n v="6014"/>
    <s v="View"/>
  </r>
  <r>
    <n v="135"/>
    <x v="134"/>
    <x v="91"/>
    <x v="1"/>
    <x v="14"/>
    <x v="1"/>
    <n v="20.61"/>
    <n v="4.5999999999999996"/>
    <n v="8196"/>
    <n v="12"/>
    <x v="52"/>
    <x v="5"/>
    <s v="978-1-70089-750-5"/>
    <n v="788"/>
    <s v="View"/>
  </r>
  <r>
    <n v="136"/>
    <x v="135"/>
    <x v="27"/>
    <x v="0"/>
    <x v="25"/>
    <x v="0"/>
    <n v="14.63"/>
    <n v="4.3"/>
    <n v="13908"/>
    <n v="16"/>
    <x v="2"/>
    <x v="20"/>
    <s v="978-7-69836-100-6"/>
    <n v="1929"/>
    <s v="View"/>
  </r>
  <r>
    <n v="137"/>
    <x v="136"/>
    <x v="11"/>
    <x v="1"/>
    <x v="31"/>
    <x v="1"/>
    <n v="20.03"/>
    <n v="4.2"/>
    <n v="217"/>
    <n v="8"/>
    <x v="32"/>
    <x v="11"/>
    <s v="978-9-39647-631-7"/>
    <n v="350"/>
    <s v="View"/>
  </r>
  <r>
    <n v="138"/>
    <x v="137"/>
    <x v="40"/>
    <x v="0"/>
    <x v="6"/>
    <x v="0"/>
    <n v="15.95"/>
    <n v="4.0999999999999996"/>
    <n v="12539"/>
    <n v="29"/>
    <x v="42"/>
    <x v="12"/>
    <s v="978-2-18966-643-9"/>
    <n v="345"/>
    <s v="View"/>
  </r>
  <r>
    <n v="139"/>
    <x v="138"/>
    <x v="64"/>
    <x v="0"/>
    <x v="10"/>
    <x v="0"/>
    <n v="12.85"/>
    <n v="4.4000000000000004"/>
    <n v="10761"/>
    <n v="4"/>
    <x v="37"/>
    <x v="3"/>
    <s v="978-9-89638-391-0"/>
    <n v="5671"/>
    <s v="View"/>
  </r>
  <r>
    <n v="140"/>
    <x v="139"/>
    <x v="92"/>
    <x v="0"/>
    <x v="30"/>
    <x v="0"/>
    <n v="16.989999999999998"/>
    <n v="4.2"/>
    <n v="397"/>
    <n v="13"/>
    <x v="32"/>
    <x v="8"/>
    <s v="978-6-84498-530-5"/>
    <n v="4755"/>
    <s v="View"/>
  </r>
  <r>
    <n v="141"/>
    <x v="140"/>
    <x v="93"/>
    <x v="0"/>
    <x v="37"/>
    <x v="1"/>
    <n v="22.22"/>
    <n v="4.2"/>
    <n v="2701"/>
    <n v="10"/>
    <x v="38"/>
    <x v="4"/>
    <s v="978-8-36633-927-2"/>
    <n v="4676"/>
    <s v="View"/>
  </r>
  <r>
    <n v="142"/>
    <x v="141"/>
    <x v="94"/>
    <x v="0"/>
    <x v="38"/>
    <x v="0"/>
    <n v="14.98"/>
    <n v="4.2"/>
    <n v="10981"/>
    <n v="25"/>
    <x v="3"/>
    <x v="14"/>
    <s v="978-2-11487-267-7"/>
    <n v="3124"/>
    <s v="View"/>
  </r>
  <r>
    <n v="143"/>
    <x v="142"/>
    <x v="63"/>
    <x v="1"/>
    <x v="42"/>
    <x v="4"/>
    <n v="12.38"/>
    <n v="4.0999999999999996"/>
    <n v="1108"/>
    <n v="17"/>
    <x v="2"/>
    <x v="1"/>
    <s v="978-5-30618-361-1"/>
    <n v="4987"/>
    <s v="View"/>
  </r>
  <r>
    <n v="144"/>
    <x v="143"/>
    <x v="16"/>
    <x v="1"/>
    <x v="35"/>
    <x v="1"/>
    <n v="28.87"/>
    <n v="4.4000000000000004"/>
    <n v="12335"/>
    <n v="22"/>
    <x v="19"/>
    <x v="2"/>
    <s v="978-3-64559-837-5"/>
    <n v="2510"/>
    <s v="View"/>
  </r>
  <r>
    <n v="145"/>
    <x v="144"/>
    <x v="68"/>
    <x v="1"/>
    <x v="28"/>
    <x v="3"/>
    <n v="6.94"/>
    <n v="4.4000000000000004"/>
    <n v="3487"/>
    <n v="11"/>
    <x v="1"/>
    <x v="5"/>
    <s v="978-9-41795-575-5"/>
    <n v="5137"/>
    <s v="View"/>
  </r>
  <r>
    <n v="146"/>
    <x v="145"/>
    <x v="95"/>
    <x v="1"/>
    <x v="1"/>
    <x v="1"/>
    <n v="28.03"/>
    <n v="4.4000000000000004"/>
    <n v="12114"/>
    <n v="11"/>
    <x v="44"/>
    <x v="4"/>
    <s v="978-3-65026-603-0"/>
    <n v="1458"/>
    <s v="View"/>
  </r>
  <r>
    <n v="147"/>
    <x v="146"/>
    <x v="96"/>
    <x v="1"/>
    <x v="34"/>
    <x v="1"/>
    <n v="22.64"/>
    <n v="4.5999999999999996"/>
    <n v="4476"/>
    <n v="29"/>
    <x v="27"/>
    <x v="13"/>
    <s v="978-5-51688-563-4"/>
    <n v="2207"/>
    <s v="View"/>
  </r>
  <r>
    <n v="148"/>
    <x v="147"/>
    <x v="97"/>
    <x v="0"/>
    <x v="44"/>
    <x v="1"/>
    <n v="23.01"/>
    <n v="4.4000000000000004"/>
    <n v="14167"/>
    <n v="5"/>
    <x v="42"/>
    <x v="4"/>
    <s v="978-4-89076-141-3"/>
    <n v="2981"/>
    <s v="View"/>
  </r>
  <r>
    <n v="149"/>
    <x v="148"/>
    <x v="98"/>
    <x v="0"/>
    <x v="23"/>
    <x v="0"/>
    <n v="13.15"/>
    <n v="4.4000000000000004"/>
    <n v="395"/>
    <n v="3"/>
    <x v="21"/>
    <x v="1"/>
    <s v="978-2-35969-943-6"/>
    <n v="3347"/>
    <s v="View"/>
  </r>
  <r>
    <n v="150"/>
    <x v="149"/>
    <x v="43"/>
    <x v="1"/>
    <x v="17"/>
    <x v="0"/>
    <n v="17.309999999999999"/>
    <n v="4.3"/>
    <n v="7296"/>
    <n v="28"/>
    <x v="35"/>
    <x v="0"/>
    <s v="978-0-60165-799-6"/>
    <n v="1715"/>
    <s v="View"/>
  </r>
  <r>
    <n v="151"/>
    <x v="150"/>
    <x v="99"/>
    <x v="1"/>
    <x v="2"/>
    <x v="0"/>
    <n v="10.23"/>
    <n v="4.5999999999999996"/>
    <n v="8814"/>
    <n v="9"/>
    <x v="48"/>
    <x v="0"/>
    <s v="978-0-60134-900-5"/>
    <n v="4231"/>
    <s v="View"/>
  </r>
  <r>
    <n v="152"/>
    <x v="151"/>
    <x v="100"/>
    <x v="1"/>
    <x v="2"/>
    <x v="1"/>
    <n v="26.96"/>
    <n v="4.9000000000000004"/>
    <n v="4013"/>
    <n v="7"/>
    <x v="39"/>
    <x v="4"/>
    <s v="978-3-44934-646-0"/>
    <n v="2101"/>
    <s v="View"/>
  </r>
  <r>
    <n v="153"/>
    <x v="152"/>
    <x v="101"/>
    <x v="0"/>
    <x v="20"/>
    <x v="0"/>
    <n v="9.33"/>
    <n v="4.7"/>
    <n v="526"/>
    <n v="18"/>
    <x v="6"/>
    <x v="11"/>
    <s v="978-9-36406-925-2"/>
    <n v="3097"/>
    <s v="View"/>
  </r>
  <r>
    <n v="154"/>
    <x v="153"/>
    <x v="40"/>
    <x v="0"/>
    <x v="25"/>
    <x v="0"/>
    <n v="17.77"/>
    <n v="4.5"/>
    <n v="12198"/>
    <n v="15"/>
    <x v="35"/>
    <x v="1"/>
    <s v="978-5-32833-824-8"/>
    <n v="5989"/>
    <s v="View"/>
  </r>
  <r>
    <n v="155"/>
    <x v="154"/>
    <x v="102"/>
    <x v="1"/>
    <x v="35"/>
    <x v="0"/>
    <n v="16.27"/>
    <n v="4.0999999999999996"/>
    <n v="1905"/>
    <n v="17"/>
    <x v="41"/>
    <x v="12"/>
    <s v="978-1-41194-455-5"/>
    <n v="1685"/>
    <s v="View"/>
  </r>
  <r>
    <n v="156"/>
    <x v="155"/>
    <x v="62"/>
    <x v="1"/>
    <x v="2"/>
    <x v="1"/>
    <n v="22.45"/>
    <n v="4.2"/>
    <n v="2925"/>
    <n v="30"/>
    <x v="17"/>
    <x v="2"/>
    <s v="978-5-81568-484-1"/>
    <n v="4239"/>
    <s v="View"/>
  </r>
  <r>
    <n v="157"/>
    <x v="156"/>
    <x v="8"/>
    <x v="0"/>
    <x v="25"/>
    <x v="2"/>
    <n v="18.21"/>
    <n v="4.9000000000000004"/>
    <n v="1725"/>
    <n v="12"/>
    <x v="36"/>
    <x v="5"/>
    <s v="978-7-14062-541-2"/>
    <n v="5289"/>
    <s v="View"/>
  </r>
  <r>
    <n v="158"/>
    <x v="157"/>
    <x v="71"/>
    <x v="1"/>
    <x v="40"/>
    <x v="0"/>
    <n v="14.14"/>
    <n v="4.7"/>
    <n v="13960"/>
    <n v="17"/>
    <x v="10"/>
    <x v="14"/>
    <s v="978-0-66047-189-4"/>
    <n v="5739"/>
    <s v="View"/>
  </r>
  <r>
    <n v="159"/>
    <x v="158"/>
    <x v="59"/>
    <x v="0"/>
    <x v="45"/>
    <x v="2"/>
    <n v="20.29"/>
    <n v="4.2"/>
    <n v="6278"/>
    <n v="30"/>
    <x v="18"/>
    <x v="2"/>
    <s v="978-7-15848-369-7"/>
    <n v="4127"/>
    <s v="View"/>
  </r>
  <r>
    <n v="160"/>
    <x v="159"/>
    <x v="103"/>
    <x v="0"/>
    <x v="13"/>
    <x v="1"/>
    <n v="23.95"/>
    <n v="4.2"/>
    <n v="14403"/>
    <n v="17"/>
    <x v="22"/>
    <x v="5"/>
    <s v="978-7-49171-180-6"/>
    <n v="6171"/>
    <s v="View"/>
  </r>
  <r>
    <n v="161"/>
    <x v="160"/>
    <x v="70"/>
    <x v="1"/>
    <x v="14"/>
    <x v="1"/>
    <n v="29.95"/>
    <n v="4.0999999999999996"/>
    <n v="4425"/>
    <n v="12"/>
    <x v="40"/>
    <x v="8"/>
    <s v="978-1-60868-669-6"/>
    <n v="4844"/>
    <s v="View"/>
  </r>
  <r>
    <n v="162"/>
    <x v="161"/>
    <x v="104"/>
    <x v="0"/>
    <x v="11"/>
    <x v="3"/>
    <n v="11.8"/>
    <n v="4.0999999999999996"/>
    <n v="14620"/>
    <n v="13"/>
    <x v="20"/>
    <x v="8"/>
    <s v="978-6-95824-597-9"/>
    <n v="5312"/>
    <s v="View"/>
  </r>
  <r>
    <n v="163"/>
    <x v="162"/>
    <x v="30"/>
    <x v="0"/>
    <x v="6"/>
    <x v="0"/>
    <n v="16.13"/>
    <n v="4.2"/>
    <n v="14261"/>
    <n v="24"/>
    <x v="21"/>
    <x v="0"/>
    <s v="978-2-49384-861-7"/>
    <n v="2954"/>
    <s v="View"/>
  </r>
  <r>
    <n v="164"/>
    <x v="163"/>
    <x v="2"/>
    <x v="1"/>
    <x v="43"/>
    <x v="0"/>
    <n v="13.55"/>
    <n v="4.8"/>
    <n v="2422"/>
    <n v="26"/>
    <x v="46"/>
    <x v="1"/>
    <s v="978-0-32772-297-3"/>
    <n v="800"/>
    <s v="View"/>
  </r>
  <r>
    <n v="165"/>
    <x v="164"/>
    <x v="59"/>
    <x v="0"/>
    <x v="6"/>
    <x v="1"/>
    <n v="19.3"/>
    <n v="4.5999999999999996"/>
    <n v="5930"/>
    <n v="13"/>
    <x v="20"/>
    <x v="14"/>
    <s v="978-1-47364-128-6"/>
    <n v="736"/>
    <s v="View"/>
  </r>
  <r>
    <n v="166"/>
    <x v="165"/>
    <x v="105"/>
    <x v="1"/>
    <x v="35"/>
    <x v="3"/>
    <n v="6"/>
    <n v="4.2"/>
    <n v="10167"/>
    <n v="27"/>
    <x v="43"/>
    <x v="8"/>
    <s v="978-4-65549-485-5"/>
    <n v="4092"/>
    <s v="View"/>
  </r>
  <r>
    <n v="167"/>
    <x v="166"/>
    <x v="29"/>
    <x v="0"/>
    <x v="45"/>
    <x v="0"/>
    <n v="11.48"/>
    <n v="4.3"/>
    <n v="10949"/>
    <n v="24"/>
    <x v="26"/>
    <x v="8"/>
    <s v="978-4-34688-253-8"/>
    <n v="6604"/>
    <s v="View"/>
  </r>
  <r>
    <n v="168"/>
    <x v="167"/>
    <x v="72"/>
    <x v="1"/>
    <x v="17"/>
    <x v="3"/>
    <n v="9.14"/>
    <n v="4.5999999999999996"/>
    <n v="3311"/>
    <n v="12"/>
    <x v="21"/>
    <x v="0"/>
    <s v="978-8-93665-903-7"/>
    <n v="5839"/>
    <s v="View"/>
  </r>
  <r>
    <n v="169"/>
    <x v="168"/>
    <x v="89"/>
    <x v="1"/>
    <x v="14"/>
    <x v="0"/>
    <n v="15.69"/>
    <n v="4.2"/>
    <n v="5628"/>
    <n v="13"/>
    <x v="0"/>
    <x v="9"/>
    <s v="978-7-25437-581-0"/>
    <n v="5534"/>
    <s v="View"/>
  </r>
  <r>
    <n v="170"/>
    <x v="169"/>
    <x v="47"/>
    <x v="1"/>
    <x v="39"/>
    <x v="0"/>
    <n v="17.87"/>
    <n v="4.8"/>
    <n v="14828"/>
    <n v="16"/>
    <x v="43"/>
    <x v="12"/>
    <s v="978-2-20592-599-5"/>
    <n v="5509"/>
    <s v="View"/>
  </r>
  <r>
    <n v="171"/>
    <x v="170"/>
    <x v="106"/>
    <x v="0"/>
    <x v="46"/>
    <x v="1"/>
    <n v="23.2"/>
    <n v="4.7"/>
    <n v="12171"/>
    <n v="13"/>
    <x v="19"/>
    <x v="8"/>
    <s v="978-8-34979-118-0"/>
    <n v="5475"/>
    <s v="View"/>
  </r>
  <r>
    <n v="172"/>
    <x v="171"/>
    <x v="107"/>
    <x v="1"/>
    <x v="28"/>
    <x v="3"/>
    <n v="9.36"/>
    <n v="4.4000000000000004"/>
    <n v="5735"/>
    <n v="15"/>
    <x v="32"/>
    <x v="8"/>
    <s v="978-5-74248-467-3"/>
    <n v="1694"/>
    <s v="View"/>
  </r>
  <r>
    <n v="173"/>
    <x v="172"/>
    <x v="82"/>
    <x v="0"/>
    <x v="13"/>
    <x v="3"/>
    <n v="9.6"/>
    <n v="4.3"/>
    <n v="1971"/>
    <n v="22"/>
    <x v="45"/>
    <x v="1"/>
    <s v="978-1-64627-554-6"/>
    <n v="1358"/>
    <s v="View"/>
  </r>
  <r>
    <n v="174"/>
    <x v="173"/>
    <x v="55"/>
    <x v="0"/>
    <x v="37"/>
    <x v="0"/>
    <n v="16.05"/>
    <n v="4.4000000000000004"/>
    <n v="8354"/>
    <n v="8"/>
    <x v="52"/>
    <x v="5"/>
    <s v="978-4-78569-306-5"/>
    <n v="6110"/>
    <s v="View"/>
  </r>
  <r>
    <n v="175"/>
    <x v="174"/>
    <x v="78"/>
    <x v="0"/>
    <x v="11"/>
    <x v="0"/>
    <n v="9.8000000000000007"/>
    <n v="4"/>
    <n v="1859"/>
    <n v="30"/>
    <x v="21"/>
    <x v="9"/>
    <s v="978-7-48800-370-7"/>
    <n v="760"/>
    <s v="View"/>
  </r>
  <r>
    <n v="176"/>
    <x v="175"/>
    <x v="19"/>
    <x v="0"/>
    <x v="25"/>
    <x v="2"/>
    <n v="34.090000000000003"/>
    <n v="4.4000000000000004"/>
    <n v="4595"/>
    <n v="30"/>
    <x v="10"/>
    <x v="0"/>
    <s v="978-5-33969-216-6"/>
    <n v="3630"/>
    <s v="View"/>
  </r>
  <r>
    <n v="177"/>
    <x v="176"/>
    <x v="38"/>
    <x v="0"/>
    <x v="11"/>
    <x v="0"/>
    <n v="12.41"/>
    <n v="4.4000000000000004"/>
    <n v="11414"/>
    <n v="30"/>
    <x v="32"/>
    <x v="1"/>
    <s v="978-7-73979-215-6"/>
    <n v="3964"/>
    <s v="View"/>
  </r>
  <r>
    <n v="178"/>
    <x v="177"/>
    <x v="65"/>
    <x v="0"/>
    <x v="45"/>
    <x v="1"/>
    <n v="25.33"/>
    <n v="4.4000000000000004"/>
    <n v="2635"/>
    <n v="28"/>
    <x v="36"/>
    <x v="1"/>
    <s v="978-0-11526-758-2"/>
    <n v="4497"/>
    <s v="View"/>
  </r>
  <r>
    <n v="179"/>
    <x v="178"/>
    <x v="106"/>
    <x v="0"/>
    <x v="13"/>
    <x v="3"/>
    <n v="4.7"/>
    <n v="4.0999999999999996"/>
    <n v="1642"/>
    <n v="29"/>
    <x v="19"/>
    <x v="11"/>
    <s v="978-1-75191-863-0"/>
    <n v="1198"/>
    <s v="View"/>
  </r>
  <r>
    <n v="180"/>
    <x v="179"/>
    <x v="89"/>
    <x v="1"/>
    <x v="2"/>
    <x v="3"/>
    <n v="6.98"/>
    <n v="4.5"/>
    <n v="12773"/>
    <n v="21"/>
    <x v="43"/>
    <x v="5"/>
    <s v="978-5-69314-216-1"/>
    <n v="6580"/>
    <s v="View"/>
  </r>
  <r>
    <n v="181"/>
    <x v="180"/>
    <x v="108"/>
    <x v="0"/>
    <x v="47"/>
    <x v="0"/>
    <n v="10.75"/>
    <n v="4.8"/>
    <n v="3732"/>
    <n v="16"/>
    <x v="24"/>
    <x v="1"/>
    <s v="978-5-24125-875-6"/>
    <n v="742"/>
    <s v="View"/>
  </r>
  <r>
    <n v="182"/>
    <x v="181"/>
    <x v="109"/>
    <x v="0"/>
    <x v="10"/>
    <x v="2"/>
    <n v="30.61"/>
    <n v="4.7"/>
    <n v="3103"/>
    <n v="24"/>
    <x v="49"/>
    <x v="5"/>
    <s v="978-2-23573-496-9"/>
    <n v="5329"/>
    <s v="View"/>
  </r>
  <r>
    <n v="183"/>
    <x v="182"/>
    <x v="110"/>
    <x v="0"/>
    <x v="36"/>
    <x v="0"/>
    <n v="15.3"/>
    <n v="4.7"/>
    <n v="9269"/>
    <n v="22"/>
    <x v="25"/>
    <x v="3"/>
    <s v="978-9-48086-803-5"/>
    <n v="5874"/>
    <s v="View"/>
  </r>
  <r>
    <n v="184"/>
    <x v="183"/>
    <x v="111"/>
    <x v="1"/>
    <x v="28"/>
    <x v="3"/>
    <n v="8.69"/>
    <n v="4.0999999999999996"/>
    <n v="614"/>
    <n v="14"/>
    <x v="39"/>
    <x v="12"/>
    <s v="978-0-36201-373-2"/>
    <n v="2715"/>
    <s v="View"/>
  </r>
  <r>
    <n v="185"/>
    <x v="184"/>
    <x v="112"/>
    <x v="0"/>
    <x v="13"/>
    <x v="1"/>
    <n v="27.35"/>
    <n v="4.3"/>
    <n v="969"/>
    <n v="14"/>
    <x v="42"/>
    <x v="2"/>
    <s v="978-5-82368-155-0"/>
    <n v="6462"/>
    <s v="View"/>
  </r>
  <r>
    <n v="186"/>
    <x v="185"/>
    <x v="87"/>
    <x v="1"/>
    <x v="35"/>
    <x v="1"/>
    <n v="21.89"/>
    <n v="4"/>
    <n v="7220"/>
    <n v="10"/>
    <x v="32"/>
    <x v="5"/>
    <s v="978-2-86544-966-4"/>
    <n v="418"/>
    <s v="View"/>
  </r>
  <r>
    <n v="187"/>
    <x v="186"/>
    <x v="113"/>
    <x v="1"/>
    <x v="33"/>
    <x v="1"/>
    <n v="27.21"/>
    <n v="4.5999999999999996"/>
    <n v="6809"/>
    <n v="4"/>
    <x v="25"/>
    <x v="13"/>
    <s v="978-5-53393-469-4"/>
    <n v="2163"/>
    <s v="View"/>
  </r>
  <r>
    <n v="188"/>
    <x v="187"/>
    <x v="51"/>
    <x v="0"/>
    <x v="13"/>
    <x v="0"/>
    <n v="13.85"/>
    <n v="4.7"/>
    <n v="4833"/>
    <n v="2"/>
    <x v="52"/>
    <x v="8"/>
    <s v="978-5-77411-922-8"/>
    <n v="4026"/>
    <s v="View"/>
  </r>
  <r>
    <n v="189"/>
    <x v="188"/>
    <x v="70"/>
    <x v="1"/>
    <x v="15"/>
    <x v="1"/>
    <n v="18.34"/>
    <n v="4"/>
    <n v="12346"/>
    <n v="26"/>
    <x v="40"/>
    <x v="2"/>
    <s v="978-2-13113-570-5"/>
    <n v="688"/>
    <s v="View"/>
  </r>
  <r>
    <n v="190"/>
    <x v="189"/>
    <x v="30"/>
    <x v="0"/>
    <x v="0"/>
    <x v="0"/>
    <n v="10.050000000000001"/>
    <n v="4.3"/>
    <n v="296"/>
    <n v="22"/>
    <x v="40"/>
    <x v="0"/>
    <s v="978-9-15965-817-1"/>
    <n v="3310"/>
    <s v="View"/>
  </r>
  <r>
    <n v="191"/>
    <x v="190"/>
    <x v="114"/>
    <x v="1"/>
    <x v="33"/>
    <x v="3"/>
    <n v="11.16"/>
    <n v="4.5"/>
    <n v="10588"/>
    <n v="6"/>
    <x v="49"/>
    <x v="9"/>
    <s v="978-5-11461-666-8"/>
    <n v="1540"/>
    <s v="View"/>
  </r>
  <r>
    <n v="192"/>
    <x v="191"/>
    <x v="115"/>
    <x v="1"/>
    <x v="32"/>
    <x v="0"/>
    <n v="14.54"/>
    <n v="4.2"/>
    <n v="4340"/>
    <n v="8"/>
    <x v="39"/>
    <x v="12"/>
    <s v="978-9-17128-971-8"/>
    <n v="4162"/>
    <s v="View"/>
  </r>
  <r>
    <n v="193"/>
    <x v="192"/>
    <x v="83"/>
    <x v="1"/>
    <x v="28"/>
    <x v="0"/>
    <n v="10.73"/>
    <n v="4.2"/>
    <n v="11003"/>
    <n v="11"/>
    <x v="31"/>
    <x v="0"/>
    <s v="978-9-84299-473-5"/>
    <n v="3894"/>
    <s v="View"/>
  </r>
  <r>
    <n v="194"/>
    <x v="193"/>
    <x v="116"/>
    <x v="1"/>
    <x v="31"/>
    <x v="1"/>
    <n v="19.28"/>
    <n v="4.4000000000000004"/>
    <n v="10138"/>
    <n v="4"/>
    <x v="32"/>
    <x v="1"/>
    <s v="978-8-35746-369-1"/>
    <n v="6347"/>
    <s v="View"/>
  </r>
  <r>
    <n v="195"/>
    <x v="194"/>
    <x v="117"/>
    <x v="0"/>
    <x v="6"/>
    <x v="0"/>
    <n v="15.94"/>
    <n v="4.4000000000000004"/>
    <n v="7813"/>
    <n v="18"/>
    <x v="27"/>
    <x v="11"/>
    <s v="978-5-75820-110-3"/>
    <n v="5420"/>
    <s v="View"/>
  </r>
  <r>
    <n v="196"/>
    <x v="195"/>
    <x v="118"/>
    <x v="1"/>
    <x v="34"/>
    <x v="0"/>
    <n v="9.3800000000000008"/>
    <n v="4.2"/>
    <n v="3587"/>
    <n v="18"/>
    <x v="10"/>
    <x v="8"/>
    <s v="978-6-71561-565-0"/>
    <n v="718"/>
    <s v="View"/>
  </r>
  <r>
    <n v="197"/>
    <x v="196"/>
    <x v="119"/>
    <x v="1"/>
    <x v="42"/>
    <x v="4"/>
    <n v="9.5500000000000007"/>
    <n v="4"/>
    <n v="5853"/>
    <n v="17"/>
    <x v="37"/>
    <x v="1"/>
    <s v="978-0-75776-242-7"/>
    <n v="1750"/>
    <s v="View"/>
  </r>
  <r>
    <n v="198"/>
    <x v="197"/>
    <x v="79"/>
    <x v="1"/>
    <x v="12"/>
    <x v="1"/>
    <n v="23.22"/>
    <n v="4.7"/>
    <n v="9879"/>
    <n v="7"/>
    <x v="30"/>
    <x v="0"/>
    <s v="978-0-41938-144-2"/>
    <n v="5094"/>
    <s v="View"/>
  </r>
  <r>
    <n v="199"/>
    <x v="198"/>
    <x v="120"/>
    <x v="1"/>
    <x v="14"/>
    <x v="1"/>
    <n v="29.9"/>
    <n v="4.5"/>
    <n v="13804"/>
    <n v="15"/>
    <x v="53"/>
    <x v="5"/>
    <s v="978-2-91685-775-8"/>
    <n v="2564"/>
    <s v="View"/>
  </r>
  <r>
    <n v="200"/>
    <x v="199"/>
    <x v="93"/>
    <x v="0"/>
    <x v="37"/>
    <x v="3"/>
    <n v="9.44"/>
    <n v="4.3"/>
    <n v="3106"/>
    <n v="17"/>
    <x v="37"/>
    <x v="8"/>
    <s v="978-0-79655-615-1"/>
    <n v="1163"/>
    <s v="View"/>
  </r>
  <r>
    <n v="201"/>
    <x v="200"/>
    <x v="121"/>
    <x v="0"/>
    <x v="45"/>
    <x v="0"/>
    <n v="16.23"/>
    <n v="4.8"/>
    <n v="9639"/>
    <n v="5"/>
    <x v="20"/>
    <x v="2"/>
    <s v="978-7-40475-979-1"/>
    <n v="2722"/>
    <s v="View"/>
  </r>
  <r>
    <n v="202"/>
    <x v="201"/>
    <x v="122"/>
    <x v="0"/>
    <x v="0"/>
    <x v="0"/>
    <n v="10.38"/>
    <n v="4.0999999999999996"/>
    <n v="10875"/>
    <n v="20"/>
    <x v="48"/>
    <x v="9"/>
    <s v="978-6-84012-474-9"/>
    <n v="2661"/>
    <s v="View"/>
  </r>
  <r>
    <n v="203"/>
    <x v="202"/>
    <x v="123"/>
    <x v="1"/>
    <x v="12"/>
    <x v="0"/>
    <n v="16.04"/>
    <n v="4.5"/>
    <n v="8528"/>
    <n v="14"/>
    <x v="47"/>
    <x v="1"/>
    <s v="978-9-99727-823-0"/>
    <n v="1722"/>
    <s v="View"/>
  </r>
  <r>
    <n v="204"/>
    <x v="203"/>
    <x v="32"/>
    <x v="0"/>
    <x v="36"/>
    <x v="3"/>
    <n v="12.37"/>
    <n v="4.4000000000000004"/>
    <n v="6764"/>
    <n v="21"/>
    <x v="0"/>
    <x v="0"/>
    <s v="978-9-17531-892-2"/>
    <n v="5653"/>
    <s v="View"/>
  </r>
  <r>
    <n v="205"/>
    <x v="204"/>
    <x v="124"/>
    <x v="1"/>
    <x v="40"/>
    <x v="0"/>
    <n v="10.41"/>
    <n v="4.8"/>
    <n v="5985"/>
    <n v="23"/>
    <x v="53"/>
    <x v="2"/>
    <s v="978-3-77861-115-1"/>
    <n v="1148"/>
    <s v="View"/>
  </r>
  <r>
    <n v="206"/>
    <x v="205"/>
    <x v="125"/>
    <x v="0"/>
    <x v="47"/>
    <x v="0"/>
    <n v="9.64"/>
    <n v="4.4000000000000004"/>
    <n v="5021"/>
    <n v="12"/>
    <x v="54"/>
    <x v="8"/>
    <s v="978-4-80504-932-9"/>
    <n v="2461"/>
    <s v="View"/>
  </r>
  <r>
    <n v="207"/>
    <x v="206"/>
    <x v="126"/>
    <x v="0"/>
    <x v="13"/>
    <x v="1"/>
    <n v="19.98"/>
    <n v="4.0999999999999996"/>
    <n v="8662"/>
    <n v="19"/>
    <x v="20"/>
    <x v="10"/>
    <s v="978-3-47655-195-6"/>
    <n v="5932"/>
    <s v="View"/>
  </r>
  <r>
    <n v="208"/>
    <x v="207"/>
    <x v="67"/>
    <x v="1"/>
    <x v="41"/>
    <x v="3"/>
    <n v="11.84"/>
    <n v="5"/>
    <n v="3587"/>
    <n v="9"/>
    <x v="22"/>
    <x v="3"/>
    <s v="978-9-56665-259-1"/>
    <n v="1398"/>
    <s v="View"/>
  </r>
  <r>
    <n v="209"/>
    <x v="208"/>
    <x v="127"/>
    <x v="0"/>
    <x v="37"/>
    <x v="0"/>
    <n v="15.74"/>
    <n v="4.5999999999999996"/>
    <n v="7133"/>
    <n v="17"/>
    <x v="51"/>
    <x v="8"/>
    <s v="978-8-55519-503-2"/>
    <n v="4163"/>
    <s v="View"/>
  </r>
  <r>
    <n v="210"/>
    <x v="209"/>
    <x v="128"/>
    <x v="0"/>
    <x v="23"/>
    <x v="0"/>
    <n v="13.23"/>
    <n v="4.5999999999999996"/>
    <n v="10244"/>
    <n v="12"/>
    <x v="35"/>
    <x v="13"/>
    <s v="978-6-37594-529-5"/>
    <n v="3410"/>
    <s v="View"/>
  </r>
  <r>
    <n v="211"/>
    <x v="210"/>
    <x v="87"/>
    <x v="1"/>
    <x v="32"/>
    <x v="0"/>
    <n v="16.239999999999998"/>
    <n v="4.5"/>
    <n v="14835"/>
    <n v="29"/>
    <x v="48"/>
    <x v="0"/>
    <s v="978-5-73782-407-4"/>
    <n v="5027"/>
    <s v="View"/>
  </r>
  <r>
    <n v="212"/>
    <x v="211"/>
    <x v="24"/>
    <x v="0"/>
    <x v="6"/>
    <x v="1"/>
    <n v="29.1"/>
    <n v="4.7"/>
    <n v="4422"/>
    <n v="13"/>
    <x v="5"/>
    <x v="20"/>
    <s v="978-5-99074-720-3"/>
    <n v="5149"/>
    <s v="View"/>
  </r>
  <r>
    <n v="213"/>
    <x v="212"/>
    <x v="58"/>
    <x v="0"/>
    <x v="29"/>
    <x v="2"/>
    <n v="27.8"/>
    <n v="4.5999999999999996"/>
    <n v="10232"/>
    <n v="20"/>
    <x v="40"/>
    <x v="2"/>
    <s v="978-1-31233-451-3"/>
    <n v="2994"/>
    <s v="View"/>
  </r>
  <r>
    <n v="214"/>
    <x v="213"/>
    <x v="129"/>
    <x v="1"/>
    <x v="39"/>
    <x v="0"/>
    <n v="11.25"/>
    <n v="4.3"/>
    <n v="12387"/>
    <n v="24"/>
    <x v="25"/>
    <x v="1"/>
    <s v="978-2-62041-205-1"/>
    <n v="950"/>
    <s v="View"/>
  </r>
  <r>
    <n v="215"/>
    <x v="214"/>
    <x v="130"/>
    <x v="1"/>
    <x v="31"/>
    <x v="0"/>
    <n v="11.55"/>
    <n v="4.3"/>
    <n v="13938"/>
    <n v="7"/>
    <x v="39"/>
    <x v="18"/>
    <s v="978-5-52624-984-7"/>
    <n v="4257"/>
    <s v="View"/>
  </r>
  <r>
    <n v="216"/>
    <x v="215"/>
    <x v="109"/>
    <x v="0"/>
    <x v="44"/>
    <x v="1"/>
    <n v="27.45"/>
    <n v="4.3"/>
    <n v="7439"/>
    <n v="11"/>
    <x v="20"/>
    <x v="13"/>
    <s v="978-2-49789-110-0"/>
    <n v="4719"/>
    <s v="View"/>
  </r>
  <r>
    <n v="217"/>
    <x v="216"/>
    <x v="60"/>
    <x v="0"/>
    <x v="36"/>
    <x v="3"/>
    <n v="8.92"/>
    <n v="4.5999999999999996"/>
    <n v="7361"/>
    <n v="14"/>
    <x v="43"/>
    <x v="3"/>
    <s v="978-6-59592-325-4"/>
    <n v="1082"/>
    <s v="View"/>
  </r>
  <r>
    <n v="218"/>
    <x v="217"/>
    <x v="131"/>
    <x v="1"/>
    <x v="12"/>
    <x v="1"/>
    <n v="22.88"/>
    <n v="4.9000000000000004"/>
    <n v="11676"/>
    <n v="21"/>
    <x v="19"/>
    <x v="11"/>
    <s v="978-0-29942-150-8"/>
    <n v="617"/>
    <s v="View"/>
  </r>
  <r>
    <n v="219"/>
    <x v="218"/>
    <x v="93"/>
    <x v="0"/>
    <x v="25"/>
    <x v="0"/>
    <n v="16.190000000000001"/>
    <n v="4.7"/>
    <n v="13166"/>
    <n v="3"/>
    <x v="50"/>
    <x v="13"/>
    <s v="978-2-17345-372-6"/>
    <n v="1022"/>
    <s v="View"/>
  </r>
  <r>
    <n v="220"/>
    <x v="219"/>
    <x v="104"/>
    <x v="0"/>
    <x v="29"/>
    <x v="1"/>
    <n v="29.76"/>
    <n v="4.4000000000000004"/>
    <n v="7946"/>
    <n v="14"/>
    <x v="1"/>
    <x v="0"/>
    <s v="978-5-30789-744-0"/>
    <n v="6540"/>
    <s v="View"/>
  </r>
  <r>
    <n v="221"/>
    <x v="220"/>
    <x v="4"/>
    <x v="0"/>
    <x v="0"/>
    <x v="0"/>
    <n v="11.47"/>
    <n v="4.7"/>
    <n v="346"/>
    <n v="3"/>
    <x v="34"/>
    <x v="5"/>
    <s v="978-7-88146-258-5"/>
    <n v="6756"/>
    <s v="View"/>
  </r>
  <r>
    <n v="222"/>
    <x v="221"/>
    <x v="9"/>
    <x v="1"/>
    <x v="33"/>
    <x v="4"/>
    <n v="13.51"/>
    <n v="4.7"/>
    <n v="12597"/>
    <n v="13"/>
    <x v="29"/>
    <x v="1"/>
    <s v="978-3-12798-805-6"/>
    <n v="3378"/>
    <s v="View"/>
  </r>
  <r>
    <n v="223"/>
    <x v="222"/>
    <x v="42"/>
    <x v="0"/>
    <x v="0"/>
    <x v="0"/>
    <n v="16.47"/>
    <n v="4.7"/>
    <n v="1328"/>
    <n v="18"/>
    <x v="0"/>
    <x v="14"/>
    <s v="978-4-80989-475-7"/>
    <n v="451"/>
    <s v="View"/>
  </r>
  <r>
    <n v="224"/>
    <x v="223"/>
    <x v="37"/>
    <x v="0"/>
    <x v="38"/>
    <x v="0"/>
    <n v="14.76"/>
    <n v="4.2"/>
    <n v="2009"/>
    <n v="5"/>
    <x v="40"/>
    <x v="11"/>
    <s v="978-0-27009-282-0"/>
    <n v="2103"/>
    <s v="View"/>
  </r>
  <r>
    <n v="225"/>
    <x v="224"/>
    <x v="124"/>
    <x v="1"/>
    <x v="15"/>
    <x v="1"/>
    <n v="28.56"/>
    <n v="4.8"/>
    <n v="1194"/>
    <n v="13"/>
    <x v="30"/>
    <x v="5"/>
    <s v="978-5-17641-943-9"/>
    <n v="2627"/>
    <s v="View"/>
  </r>
  <r>
    <n v="226"/>
    <x v="225"/>
    <x v="132"/>
    <x v="0"/>
    <x v="24"/>
    <x v="1"/>
    <n v="29.31"/>
    <n v="4.5999999999999996"/>
    <n v="9349"/>
    <n v="25"/>
    <x v="41"/>
    <x v="5"/>
    <s v="978-1-93705-690-5"/>
    <n v="5977"/>
    <s v="View"/>
  </r>
  <r>
    <n v="227"/>
    <x v="226"/>
    <x v="98"/>
    <x v="0"/>
    <x v="0"/>
    <x v="4"/>
    <n v="10.26"/>
    <n v="4.0999999999999996"/>
    <n v="7254"/>
    <n v="28"/>
    <x v="37"/>
    <x v="0"/>
    <s v="978-3-83812-658-3"/>
    <n v="3526"/>
    <s v="View"/>
  </r>
  <r>
    <n v="228"/>
    <x v="227"/>
    <x v="133"/>
    <x v="1"/>
    <x v="1"/>
    <x v="4"/>
    <n v="9.49"/>
    <n v="4.7"/>
    <n v="5359"/>
    <n v="2"/>
    <x v="34"/>
    <x v="1"/>
    <s v="978-4-82569-623-8"/>
    <n v="5130"/>
    <s v="View"/>
  </r>
  <r>
    <n v="229"/>
    <x v="228"/>
    <x v="99"/>
    <x v="1"/>
    <x v="31"/>
    <x v="1"/>
    <n v="24.39"/>
    <n v="4.4000000000000004"/>
    <n v="5519"/>
    <n v="27"/>
    <x v="35"/>
    <x v="11"/>
    <s v="978-9-22499-709-4"/>
    <n v="764"/>
    <s v="View"/>
  </r>
  <r>
    <n v="230"/>
    <x v="229"/>
    <x v="134"/>
    <x v="1"/>
    <x v="2"/>
    <x v="1"/>
    <n v="21.14"/>
    <n v="4.5"/>
    <n v="9455"/>
    <n v="6"/>
    <x v="34"/>
    <x v="13"/>
    <s v="978-3-30079-151-6"/>
    <n v="4110"/>
    <s v="View"/>
  </r>
  <r>
    <n v="231"/>
    <x v="230"/>
    <x v="27"/>
    <x v="0"/>
    <x v="11"/>
    <x v="1"/>
    <n v="20.399999999999999"/>
    <n v="4.2"/>
    <n v="11633"/>
    <n v="6"/>
    <x v="33"/>
    <x v="1"/>
    <s v="978-8-35966-599-6"/>
    <n v="5805"/>
    <s v="View"/>
  </r>
  <r>
    <n v="232"/>
    <x v="231"/>
    <x v="65"/>
    <x v="0"/>
    <x v="6"/>
    <x v="0"/>
    <n v="12.09"/>
    <n v="4.5999999999999996"/>
    <n v="10938"/>
    <n v="2"/>
    <x v="2"/>
    <x v="1"/>
    <s v="978-5-90769-941-7"/>
    <n v="5569"/>
    <s v="View"/>
  </r>
  <r>
    <n v="233"/>
    <x v="232"/>
    <x v="51"/>
    <x v="0"/>
    <x v="25"/>
    <x v="0"/>
    <n v="13.23"/>
    <n v="4.2"/>
    <n v="3671"/>
    <n v="8"/>
    <x v="50"/>
    <x v="5"/>
    <s v="978-4-81932-594-9"/>
    <n v="6445"/>
    <s v="View"/>
  </r>
  <r>
    <n v="234"/>
    <x v="233"/>
    <x v="2"/>
    <x v="1"/>
    <x v="1"/>
    <x v="0"/>
    <n v="11.43"/>
    <n v="4.8"/>
    <n v="14160"/>
    <n v="23"/>
    <x v="13"/>
    <x v="13"/>
    <s v="978-0-48337-988-6"/>
    <n v="2361"/>
    <s v="View"/>
  </r>
  <r>
    <n v="235"/>
    <x v="234"/>
    <x v="135"/>
    <x v="1"/>
    <x v="17"/>
    <x v="2"/>
    <n v="21.09"/>
    <n v="4"/>
    <n v="501"/>
    <n v="13"/>
    <x v="15"/>
    <x v="0"/>
    <s v="978-4-40959-613-4"/>
    <n v="7121"/>
    <s v="View"/>
  </r>
  <r>
    <n v="236"/>
    <x v="235"/>
    <x v="136"/>
    <x v="0"/>
    <x v="24"/>
    <x v="2"/>
    <n v="28.72"/>
    <n v="4.4000000000000004"/>
    <n v="7037"/>
    <n v="9"/>
    <x v="28"/>
    <x v="5"/>
    <s v="978-4-89346-437-7"/>
    <n v="4913"/>
    <s v="View"/>
  </r>
  <r>
    <n v="237"/>
    <x v="236"/>
    <x v="76"/>
    <x v="1"/>
    <x v="34"/>
    <x v="1"/>
    <n v="26.34"/>
    <n v="4.5999999999999996"/>
    <n v="2584"/>
    <n v="25"/>
    <x v="19"/>
    <x v="18"/>
    <s v="978-6-63903-410-7"/>
    <n v="6582"/>
    <s v="View"/>
  </r>
  <r>
    <n v="238"/>
    <x v="237"/>
    <x v="14"/>
    <x v="1"/>
    <x v="5"/>
    <x v="0"/>
    <n v="16.010000000000002"/>
    <n v="4.8"/>
    <n v="2396"/>
    <n v="18"/>
    <x v="33"/>
    <x v="1"/>
    <s v="978-5-34114-972-6"/>
    <n v="4501"/>
    <s v="View"/>
  </r>
  <r>
    <n v="239"/>
    <x v="238"/>
    <x v="137"/>
    <x v="1"/>
    <x v="35"/>
    <x v="2"/>
    <n v="24.79"/>
    <n v="4.3"/>
    <n v="4243"/>
    <n v="15"/>
    <x v="51"/>
    <x v="2"/>
    <s v="978-9-59856-837-5"/>
    <n v="3706"/>
    <s v="View"/>
  </r>
  <r>
    <n v="240"/>
    <x v="239"/>
    <x v="117"/>
    <x v="0"/>
    <x v="20"/>
    <x v="4"/>
    <n v="8.26"/>
    <n v="4.5999999999999996"/>
    <n v="6547"/>
    <n v="18"/>
    <x v="45"/>
    <x v="1"/>
    <s v="978-3-48165-550-6"/>
    <n v="2974"/>
    <s v="View"/>
  </r>
  <r>
    <n v="241"/>
    <x v="240"/>
    <x v="113"/>
    <x v="1"/>
    <x v="12"/>
    <x v="3"/>
    <n v="12.43"/>
    <n v="4.4000000000000004"/>
    <n v="6975"/>
    <n v="12"/>
    <x v="18"/>
    <x v="11"/>
    <s v="978-7-87373-829-3"/>
    <n v="4206"/>
    <s v="View"/>
  </r>
  <r>
    <n v="242"/>
    <x v="241"/>
    <x v="7"/>
    <x v="0"/>
    <x v="38"/>
    <x v="0"/>
    <n v="12.42"/>
    <n v="4.3"/>
    <n v="12787"/>
    <n v="7"/>
    <x v="46"/>
    <x v="8"/>
    <s v="978-2-31249-989-2"/>
    <n v="1949"/>
    <s v="View"/>
  </r>
  <r>
    <n v="243"/>
    <x v="242"/>
    <x v="107"/>
    <x v="1"/>
    <x v="1"/>
    <x v="1"/>
    <n v="23.47"/>
    <n v="4.5"/>
    <n v="8284"/>
    <n v="9"/>
    <x v="39"/>
    <x v="3"/>
    <s v="978-7-69472-519-7"/>
    <n v="1136"/>
    <s v="View"/>
  </r>
  <r>
    <n v="244"/>
    <x v="243"/>
    <x v="16"/>
    <x v="1"/>
    <x v="32"/>
    <x v="1"/>
    <n v="27.88"/>
    <n v="4.0999999999999996"/>
    <n v="5089"/>
    <n v="12"/>
    <x v="45"/>
    <x v="8"/>
    <s v="978-1-64651-282-2"/>
    <n v="5993"/>
    <s v="View"/>
  </r>
  <r>
    <n v="245"/>
    <x v="244"/>
    <x v="95"/>
    <x v="1"/>
    <x v="34"/>
    <x v="1"/>
    <n v="24.15"/>
    <n v="4.4000000000000004"/>
    <n v="11580"/>
    <n v="29"/>
    <x v="44"/>
    <x v="9"/>
    <s v="978-6-78766-314-3"/>
    <n v="5503"/>
    <s v="View"/>
  </r>
  <r>
    <n v="246"/>
    <x v="245"/>
    <x v="138"/>
    <x v="0"/>
    <x v="38"/>
    <x v="1"/>
    <n v="26.47"/>
    <n v="4.5"/>
    <n v="8354"/>
    <n v="17"/>
    <x v="36"/>
    <x v="1"/>
    <s v="978-3-48074-298-0"/>
    <n v="1460"/>
    <s v="View"/>
  </r>
  <r>
    <n v="247"/>
    <x v="246"/>
    <x v="56"/>
    <x v="1"/>
    <x v="28"/>
    <x v="3"/>
    <n v="6.76"/>
    <n v="4.2"/>
    <n v="300"/>
    <n v="5"/>
    <x v="6"/>
    <x v="0"/>
    <s v="978-6-84569-730-0"/>
    <n v="7310"/>
    <s v="View"/>
  </r>
  <r>
    <n v="248"/>
    <x v="247"/>
    <x v="28"/>
    <x v="0"/>
    <x v="47"/>
    <x v="3"/>
    <n v="6.68"/>
    <n v="4.4000000000000004"/>
    <n v="12077"/>
    <n v="23"/>
    <x v="48"/>
    <x v="13"/>
    <s v="978-0-37297-691-5"/>
    <n v="7045"/>
    <s v="View"/>
  </r>
  <r>
    <n v="249"/>
    <x v="248"/>
    <x v="39"/>
    <x v="1"/>
    <x v="31"/>
    <x v="2"/>
    <n v="29.19"/>
    <n v="4.4000000000000004"/>
    <n v="14569"/>
    <n v="9"/>
    <x v="1"/>
    <x v="13"/>
    <s v="978-3-78825-409-2"/>
    <n v="1417"/>
    <s v="View"/>
  </r>
  <r>
    <n v="250"/>
    <x v="249"/>
    <x v="101"/>
    <x v="0"/>
    <x v="24"/>
    <x v="3"/>
    <n v="5.28"/>
    <n v="4.5"/>
    <n v="14483"/>
    <n v="5"/>
    <x v="44"/>
    <x v="1"/>
    <s v="978-2-36894-841-0"/>
    <n v="4263"/>
    <s v="View"/>
  </r>
  <r>
    <n v="251"/>
    <x v="250"/>
    <x v="17"/>
    <x v="1"/>
    <x v="5"/>
    <x v="3"/>
    <n v="9.74"/>
    <n v="4.4000000000000004"/>
    <n v="2397"/>
    <n v="5"/>
    <x v="52"/>
    <x v="5"/>
    <s v="978-7-97965-220-4"/>
    <n v="1725"/>
    <s v="View"/>
  </r>
  <r>
    <n v="252"/>
    <x v="251"/>
    <x v="17"/>
    <x v="1"/>
    <x v="28"/>
    <x v="0"/>
    <n v="9.6300000000000008"/>
    <n v="4.5999999999999996"/>
    <n v="2824"/>
    <n v="9"/>
    <x v="32"/>
    <x v="2"/>
    <s v="978-0-71700-791-0"/>
    <n v="1371"/>
    <s v="View"/>
  </r>
  <r>
    <n v="253"/>
    <x v="252"/>
    <x v="139"/>
    <x v="0"/>
    <x v="11"/>
    <x v="0"/>
    <n v="16.21"/>
    <n v="4.4000000000000004"/>
    <n v="2592"/>
    <n v="11"/>
    <x v="52"/>
    <x v="0"/>
    <s v="978-7-71675-337-3"/>
    <n v="1683"/>
    <s v="View"/>
  </r>
  <r>
    <n v="254"/>
    <x v="253"/>
    <x v="140"/>
    <x v="1"/>
    <x v="12"/>
    <x v="1"/>
    <n v="27.98"/>
    <n v="4.3"/>
    <n v="2362"/>
    <n v="13"/>
    <x v="46"/>
    <x v="13"/>
    <s v="978-2-76577-205-6"/>
    <n v="7205"/>
    <s v="View"/>
  </r>
  <r>
    <n v="255"/>
    <x v="254"/>
    <x v="79"/>
    <x v="1"/>
    <x v="43"/>
    <x v="0"/>
    <n v="12.06"/>
    <n v="4.5"/>
    <n v="3616"/>
    <n v="10"/>
    <x v="48"/>
    <x v="1"/>
    <s v="978-3-32686-778-1"/>
    <n v="6566"/>
    <s v="View"/>
  </r>
  <r>
    <n v="256"/>
    <x v="255"/>
    <x v="108"/>
    <x v="0"/>
    <x v="36"/>
    <x v="1"/>
    <n v="24.74"/>
    <n v="4.0999999999999996"/>
    <n v="3154"/>
    <n v="6"/>
    <x v="39"/>
    <x v="11"/>
    <s v="978-0-21866-322-2"/>
    <n v="5269"/>
    <s v="View"/>
  </r>
  <r>
    <n v="257"/>
    <x v="256"/>
    <x v="3"/>
    <x v="1"/>
    <x v="31"/>
    <x v="3"/>
    <n v="10.11"/>
    <n v="4.9000000000000004"/>
    <n v="2870"/>
    <n v="2"/>
    <x v="36"/>
    <x v="5"/>
    <s v="978-8-62978-967-2"/>
    <n v="7497"/>
    <s v="View"/>
  </r>
  <r>
    <n v="258"/>
    <x v="257"/>
    <x v="121"/>
    <x v="0"/>
    <x v="0"/>
    <x v="1"/>
    <n v="22.65"/>
    <n v="4.0999999999999996"/>
    <n v="1780"/>
    <n v="11"/>
    <x v="32"/>
    <x v="14"/>
    <s v="978-3-82800-493-5"/>
    <n v="7396"/>
    <s v="View"/>
  </r>
  <r>
    <n v="259"/>
    <x v="258"/>
    <x v="61"/>
    <x v="0"/>
    <x v="47"/>
    <x v="2"/>
    <n v="28.9"/>
    <n v="4.7"/>
    <n v="3772"/>
    <n v="9"/>
    <x v="29"/>
    <x v="2"/>
    <s v="978-6-56570-331-2"/>
    <n v="3997"/>
    <s v="View"/>
  </r>
  <r>
    <n v="260"/>
    <x v="259"/>
    <x v="72"/>
    <x v="1"/>
    <x v="12"/>
    <x v="1"/>
    <n v="25.97"/>
    <n v="4.3"/>
    <n v="1213"/>
    <n v="12"/>
    <x v="50"/>
    <x v="0"/>
    <s v="978-4-70940-629-1"/>
    <n v="4807"/>
    <s v="View"/>
  </r>
  <r>
    <n v="261"/>
    <x v="260"/>
    <x v="13"/>
    <x v="0"/>
    <x v="37"/>
    <x v="1"/>
    <n v="21.3"/>
    <n v="4"/>
    <n v="2463"/>
    <n v="5"/>
    <x v="34"/>
    <x v="14"/>
    <s v="978-9-49855-844-9"/>
    <n v="2655"/>
    <s v="View"/>
  </r>
  <r>
    <n v="262"/>
    <x v="261"/>
    <x v="56"/>
    <x v="1"/>
    <x v="9"/>
    <x v="0"/>
    <n v="11.52"/>
    <n v="5"/>
    <n v="2154"/>
    <n v="1"/>
    <x v="37"/>
    <x v="1"/>
    <s v="978-2-87564-856-2"/>
    <n v="5923"/>
    <s v="View"/>
  </r>
  <r>
    <n v="263"/>
    <x v="262"/>
    <x v="64"/>
    <x v="0"/>
    <x v="47"/>
    <x v="0"/>
    <n v="12.95"/>
    <n v="4.3"/>
    <n v="2876"/>
    <n v="1"/>
    <x v="50"/>
    <x v="0"/>
    <s v="978-1-16884-271-7"/>
    <n v="3792"/>
    <s v="View"/>
  </r>
  <r>
    <n v="264"/>
    <x v="263"/>
    <x v="121"/>
    <x v="0"/>
    <x v="27"/>
    <x v="1"/>
    <n v="29.49"/>
    <n v="4.3"/>
    <n v="386"/>
    <n v="2"/>
    <x v="55"/>
    <x v="8"/>
    <s v="978-5-66595-725-4"/>
    <n v="3272"/>
    <s v="View"/>
  </r>
  <r>
    <n v="265"/>
    <x v="264"/>
    <x v="2"/>
    <x v="1"/>
    <x v="1"/>
    <x v="0"/>
    <n v="9.8699999999999992"/>
    <n v="4.5999999999999996"/>
    <n v="1847"/>
    <n v="12"/>
    <x v="24"/>
    <x v="9"/>
    <s v="978-0-13106-734-1"/>
    <n v="995"/>
    <s v="View"/>
  </r>
  <r>
    <n v="266"/>
    <x v="265"/>
    <x v="26"/>
    <x v="0"/>
    <x v="29"/>
    <x v="1"/>
    <n v="28.99"/>
    <n v="4.5999999999999996"/>
    <n v="2314"/>
    <n v="13"/>
    <x v="39"/>
    <x v="2"/>
    <s v="978-5-43729-265-1"/>
    <n v="2803"/>
    <s v="View"/>
  </r>
  <r>
    <n v="267"/>
    <x v="266"/>
    <x v="77"/>
    <x v="1"/>
    <x v="35"/>
    <x v="1"/>
    <n v="18.86"/>
    <n v="4.4000000000000004"/>
    <n v="920"/>
    <n v="15"/>
    <x v="20"/>
    <x v="2"/>
    <s v="978-1-14569-174-1"/>
    <n v="5214"/>
    <s v="View"/>
  </r>
  <r>
    <n v="268"/>
    <x v="267"/>
    <x v="59"/>
    <x v="0"/>
    <x v="37"/>
    <x v="1"/>
    <n v="22.24"/>
    <n v="4.2"/>
    <n v="624"/>
    <n v="9"/>
    <x v="17"/>
    <x v="3"/>
    <s v="978-7-25886-680-8"/>
    <n v="3476"/>
    <s v="View"/>
  </r>
  <r>
    <n v="269"/>
    <x v="268"/>
    <x v="33"/>
    <x v="0"/>
    <x v="23"/>
    <x v="4"/>
    <n v="12.62"/>
    <n v="4.3"/>
    <n v="924"/>
    <n v="11"/>
    <x v="35"/>
    <x v="0"/>
    <s v="978-1-92941-548-3"/>
    <n v="1684"/>
    <s v="View"/>
  </r>
  <r>
    <n v="270"/>
    <x v="269"/>
    <x v="141"/>
    <x v="1"/>
    <x v="17"/>
    <x v="0"/>
    <n v="16.079999999999998"/>
    <n v="4.5999999999999996"/>
    <n v="400"/>
    <n v="7"/>
    <x v="26"/>
    <x v="12"/>
    <s v="978-8-70079-794-8"/>
    <n v="1760"/>
    <s v="View"/>
  </r>
  <r>
    <n v="271"/>
    <x v="270"/>
    <x v="134"/>
    <x v="1"/>
    <x v="2"/>
    <x v="3"/>
    <n v="4.87"/>
    <n v="4"/>
    <n v="573"/>
    <n v="14"/>
    <x v="5"/>
    <x v="1"/>
    <s v="978-7-87984-918-9"/>
    <n v="2348"/>
    <s v="View"/>
  </r>
  <r>
    <n v="272"/>
    <x v="271"/>
    <x v="29"/>
    <x v="0"/>
    <x v="25"/>
    <x v="0"/>
    <n v="10.26"/>
    <n v="4.0999999999999996"/>
    <n v="3450"/>
    <n v="3"/>
    <x v="47"/>
    <x v="0"/>
    <s v="978-2-67496-349-9"/>
    <n v="877"/>
    <s v="View"/>
  </r>
  <r>
    <n v="273"/>
    <x v="272"/>
    <x v="13"/>
    <x v="0"/>
    <x v="47"/>
    <x v="1"/>
    <n v="19.670000000000002"/>
    <n v="4.2"/>
    <n v="3425"/>
    <n v="4"/>
    <x v="36"/>
    <x v="8"/>
    <s v="978-0-88154-284-7"/>
    <n v="5559"/>
    <s v="View"/>
  </r>
  <r>
    <n v="274"/>
    <x v="273"/>
    <x v="125"/>
    <x v="0"/>
    <x v="20"/>
    <x v="0"/>
    <n v="15.92"/>
    <n v="4.2"/>
    <n v="1754"/>
    <n v="5"/>
    <x v="5"/>
    <x v="19"/>
    <s v="978-2-99816-964-7"/>
    <n v="4623"/>
    <s v="View"/>
  </r>
  <r>
    <n v="275"/>
    <x v="274"/>
    <x v="81"/>
    <x v="1"/>
    <x v="2"/>
    <x v="0"/>
    <n v="16.059999999999999"/>
    <n v="4.3"/>
    <n v="1977"/>
    <n v="12"/>
    <x v="53"/>
    <x v="11"/>
    <s v="978-5-64927-303-5"/>
    <n v="2434"/>
    <s v="View"/>
  </r>
  <r>
    <n v="276"/>
    <x v="275"/>
    <x v="58"/>
    <x v="0"/>
    <x v="46"/>
    <x v="0"/>
    <n v="14.47"/>
    <n v="4.4000000000000004"/>
    <n v="1508"/>
    <n v="7"/>
    <x v="11"/>
    <x v="13"/>
    <s v="978-3-92840-467-4"/>
    <n v="2208"/>
    <s v="View"/>
  </r>
  <r>
    <n v="277"/>
    <x v="276"/>
    <x v="102"/>
    <x v="1"/>
    <x v="28"/>
    <x v="0"/>
    <n v="16.14"/>
    <n v="4.9000000000000004"/>
    <n v="4785"/>
    <n v="9"/>
    <x v="38"/>
    <x v="1"/>
    <s v="978-6-78389-600-3"/>
    <n v="5400"/>
    <s v="View"/>
  </r>
  <r>
    <n v="278"/>
    <x v="277"/>
    <x v="21"/>
    <x v="1"/>
    <x v="17"/>
    <x v="4"/>
    <n v="13.12"/>
    <n v="4.2"/>
    <n v="4180"/>
    <n v="1"/>
    <x v="27"/>
    <x v="2"/>
    <s v="978-7-22844-563-7"/>
    <n v="2526"/>
    <s v="View"/>
  </r>
  <r>
    <n v="279"/>
    <x v="278"/>
    <x v="39"/>
    <x v="1"/>
    <x v="43"/>
    <x v="1"/>
    <n v="24.4"/>
    <n v="3.8"/>
    <n v="3849"/>
    <n v="13"/>
    <x v="43"/>
    <x v="12"/>
    <s v="978-6-34241-908-5"/>
    <n v="5692"/>
    <s v="View"/>
  </r>
  <r>
    <n v="280"/>
    <x v="279"/>
    <x v="142"/>
    <x v="1"/>
    <x v="2"/>
    <x v="2"/>
    <n v="28.48"/>
    <n v="4.0999999999999996"/>
    <n v="472"/>
    <n v="2"/>
    <x v="11"/>
    <x v="2"/>
    <s v="978-9-15357-474-5"/>
    <n v="1995"/>
    <s v="View"/>
  </r>
  <r>
    <n v="281"/>
    <x v="280"/>
    <x v="53"/>
    <x v="0"/>
    <x v="37"/>
    <x v="0"/>
    <n v="9.56"/>
    <n v="4.2"/>
    <n v="4364"/>
    <n v="14"/>
    <x v="43"/>
    <x v="12"/>
    <s v="978-8-98907-945-8"/>
    <n v="2956"/>
    <s v="View"/>
  </r>
  <r>
    <n v="282"/>
    <x v="281"/>
    <x v="143"/>
    <x v="1"/>
    <x v="9"/>
    <x v="1"/>
    <n v="23.44"/>
    <n v="4.5999999999999996"/>
    <n v="1723"/>
    <n v="9"/>
    <x v="7"/>
    <x v="8"/>
    <s v="978-4-64596-798-8"/>
    <n v="1645"/>
    <s v="View"/>
  </r>
  <r>
    <n v="283"/>
    <x v="282"/>
    <x v="59"/>
    <x v="0"/>
    <x v="0"/>
    <x v="1"/>
    <n v="26.05"/>
    <n v="4.5"/>
    <n v="2541"/>
    <n v="10"/>
    <x v="1"/>
    <x v="12"/>
    <s v="978-2-44079-332-7"/>
    <n v="3612"/>
    <s v="View"/>
  </r>
  <r>
    <n v="284"/>
    <x v="283"/>
    <x v="67"/>
    <x v="1"/>
    <x v="43"/>
    <x v="0"/>
    <n v="17.93"/>
    <n v="4.2"/>
    <n v="4756"/>
    <n v="3"/>
    <x v="10"/>
    <x v="2"/>
    <s v="978-2-36890-675-0"/>
    <n v="6020"/>
    <s v="View"/>
  </r>
  <r>
    <n v="285"/>
    <x v="284"/>
    <x v="107"/>
    <x v="1"/>
    <x v="32"/>
    <x v="2"/>
    <n v="18.11"/>
    <n v="4.7"/>
    <n v="4206"/>
    <n v="6"/>
    <x v="0"/>
    <x v="0"/>
    <s v="978-7-47988-872-9"/>
    <n v="6033"/>
    <s v="View"/>
  </r>
  <r>
    <n v="286"/>
    <x v="285"/>
    <x v="126"/>
    <x v="0"/>
    <x v="38"/>
    <x v="1"/>
    <n v="18.190000000000001"/>
    <n v="4.3"/>
    <n v="500"/>
    <n v="10"/>
    <x v="53"/>
    <x v="0"/>
    <s v="978-8-39116-900-4"/>
    <n v="2175"/>
    <s v="View"/>
  </r>
  <r>
    <n v="287"/>
    <x v="286"/>
    <x v="63"/>
    <x v="1"/>
    <x v="32"/>
    <x v="2"/>
    <n v="22.38"/>
    <n v="4.3"/>
    <n v="2928"/>
    <n v="5"/>
    <x v="47"/>
    <x v="8"/>
    <s v="978-1-38271-845-7"/>
    <n v="6648"/>
    <s v="View"/>
  </r>
  <r>
    <n v="288"/>
    <x v="287"/>
    <x v="29"/>
    <x v="0"/>
    <x v="25"/>
    <x v="2"/>
    <n v="26.8"/>
    <n v="4.5"/>
    <n v="3128"/>
    <n v="2"/>
    <x v="55"/>
    <x v="10"/>
    <s v="978-4-64331-279-8"/>
    <n v="4361"/>
    <s v="View"/>
  </r>
  <r>
    <n v="289"/>
    <x v="288"/>
    <x v="126"/>
    <x v="0"/>
    <x v="29"/>
    <x v="0"/>
    <n v="9.01"/>
    <n v="4.4000000000000004"/>
    <n v="3921"/>
    <n v="2"/>
    <x v="0"/>
    <x v="0"/>
    <s v="978-6-33510-603-3"/>
    <n v="811"/>
    <s v="View"/>
  </r>
  <r>
    <n v="290"/>
    <x v="289"/>
    <x v="115"/>
    <x v="1"/>
    <x v="42"/>
    <x v="1"/>
    <n v="18.89"/>
    <n v="5"/>
    <n v="3826"/>
    <n v="15"/>
    <x v="15"/>
    <x v="0"/>
    <s v="978-2-16932-379-5"/>
    <n v="4016"/>
    <s v="View"/>
  </r>
  <r>
    <n v="291"/>
    <x v="290"/>
    <x v="75"/>
    <x v="0"/>
    <x v="0"/>
    <x v="3"/>
    <n v="10.15"/>
    <n v="4.3"/>
    <n v="3019"/>
    <n v="2"/>
    <x v="15"/>
    <x v="5"/>
    <s v="978-2-11690-240-8"/>
    <n v="2887"/>
    <s v="View"/>
  </r>
  <r>
    <n v="292"/>
    <x v="291"/>
    <x v="98"/>
    <x v="0"/>
    <x v="20"/>
    <x v="3"/>
    <n v="11.21"/>
    <n v="4.8"/>
    <n v="3468"/>
    <n v="8"/>
    <x v="5"/>
    <x v="8"/>
    <s v="978-2-12277-591-5"/>
    <n v="3136"/>
    <s v="View"/>
  </r>
  <r>
    <n v="293"/>
    <x v="292"/>
    <x v="52"/>
    <x v="1"/>
    <x v="31"/>
    <x v="0"/>
    <n v="17.82"/>
    <n v="4"/>
    <n v="965"/>
    <n v="2"/>
    <x v="33"/>
    <x v="20"/>
    <s v="978-6-15572-301-1"/>
    <n v="854"/>
    <s v="View"/>
  </r>
  <r>
    <n v="294"/>
    <x v="293"/>
    <x v="97"/>
    <x v="0"/>
    <x v="36"/>
    <x v="1"/>
    <n v="19.59"/>
    <n v="4.5999999999999996"/>
    <n v="2929"/>
    <n v="1"/>
    <x v="41"/>
    <x v="4"/>
    <s v="978-4-85989-456-5"/>
    <n v="1903"/>
    <s v="View"/>
  </r>
  <r>
    <n v="295"/>
    <x v="294"/>
    <x v="11"/>
    <x v="1"/>
    <x v="1"/>
    <x v="0"/>
    <n v="10.92"/>
    <n v="4"/>
    <n v="3052"/>
    <n v="12"/>
    <x v="29"/>
    <x v="5"/>
    <s v="978-1-33704-954-5"/>
    <n v="3699"/>
    <s v="View"/>
  </r>
  <r>
    <n v="296"/>
    <x v="295"/>
    <x v="76"/>
    <x v="1"/>
    <x v="28"/>
    <x v="3"/>
    <n v="4.7300000000000004"/>
    <n v="4.4000000000000004"/>
    <n v="4094"/>
    <n v="2"/>
    <x v="11"/>
    <x v="2"/>
    <s v="978-9-50895-803-7"/>
    <n v="2442"/>
    <s v="View"/>
  </r>
  <r>
    <n v="297"/>
    <x v="296"/>
    <x v="144"/>
    <x v="0"/>
    <x v="24"/>
    <x v="0"/>
    <n v="12.54"/>
    <n v="4.2"/>
    <n v="1432"/>
    <n v="2"/>
    <x v="24"/>
    <x v="13"/>
    <s v="978-5-36248-709-6"/>
    <n v="1599"/>
    <s v="View"/>
  </r>
  <r>
    <n v="298"/>
    <x v="297"/>
    <x v="108"/>
    <x v="0"/>
    <x v="29"/>
    <x v="0"/>
    <n v="13.39"/>
    <n v="3.8"/>
    <n v="1940"/>
    <n v="11"/>
    <x v="7"/>
    <x v="8"/>
    <s v="978-1-16927-950-1"/>
    <n v="4676"/>
    <s v="View"/>
  </r>
  <r>
    <n v="299"/>
    <x v="298"/>
    <x v="59"/>
    <x v="0"/>
    <x v="30"/>
    <x v="1"/>
    <n v="24.04"/>
    <n v="4.5"/>
    <n v="194"/>
    <n v="13"/>
    <x v="28"/>
    <x v="18"/>
    <s v="978-1-60283-560-5"/>
    <n v="7584"/>
    <s v="View"/>
  </r>
  <r>
    <n v="300"/>
    <x v="299"/>
    <x v="51"/>
    <x v="0"/>
    <x v="30"/>
    <x v="1"/>
    <n v="23.37"/>
    <n v="4.0999999999999996"/>
    <n v="4586"/>
    <n v="11"/>
    <x v="33"/>
    <x v="5"/>
    <s v="978-7-83695-974-2"/>
    <n v="4750"/>
    <s v="View"/>
  </r>
  <r>
    <n v="301"/>
    <x v="300"/>
    <x v="31"/>
    <x v="0"/>
    <x v="10"/>
    <x v="3"/>
    <n v="9.6199999999999992"/>
    <n v="4.2"/>
    <n v="2977"/>
    <n v="7"/>
    <x v="39"/>
    <x v="13"/>
    <s v="978-3-42455-340-4"/>
    <n v="5456"/>
    <s v="View"/>
  </r>
  <r>
    <n v="302"/>
    <x v="301"/>
    <x v="110"/>
    <x v="0"/>
    <x v="11"/>
    <x v="2"/>
    <n v="20.32"/>
    <n v="4.5999999999999996"/>
    <n v="3897"/>
    <n v="10"/>
    <x v="19"/>
    <x v="20"/>
    <s v="978-6-84757-499-5"/>
    <n v="5294"/>
    <s v="View"/>
  </r>
  <r>
    <n v="303"/>
    <x v="302"/>
    <x v="26"/>
    <x v="0"/>
    <x v="30"/>
    <x v="3"/>
    <n v="8.81"/>
    <n v="4.4000000000000004"/>
    <n v="4748"/>
    <n v="7"/>
    <x v="36"/>
    <x v="1"/>
    <s v="978-1-85784-197-9"/>
    <n v="3365"/>
    <s v="View"/>
  </r>
  <r>
    <n v="304"/>
    <x v="303"/>
    <x v="145"/>
    <x v="0"/>
    <x v="0"/>
    <x v="1"/>
    <n v="20.260000000000002"/>
    <n v="4.5"/>
    <n v="4271"/>
    <n v="8"/>
    <x v="47"/>
    <x v="0"/>
    <s v="978-2-12438-742-8"/>
    <n v="7675"/>
    <s v="View"/>
  </r>
  <r>
    <n v="305"/>
    <x v="304"/>
    <x v="146"/>
    <x v="1"/>
    <x v="40"/>
    <x v="3"/>
    <n v="10.88"/>
    <n v="4.5"/>
    <n v="577"/>
    <n v="11"/>
    <x v="30"/>
    <x v="3"/>
    <s v="978-4-47623-761-2"/>
    <n v="2710"/>
    <s v="View"/>
  </r>
  <r>
    <n v="306"/>
    <x v="305"/>
    <x v="53"/>
    <x v="0"/>
    <x v="46"/>
    <x v="1"/>
    <n v="17.47"/>
    <n v="4.2"/>
    <n v="1355"/>
    <n v="5"/>
    <x v="20"/>
    <x v="12"/>
    <s v="978-4-96333-663-2"/>
    <n v="5890"/>
    <s v="View"/>
  </r>
  <r>
    <n v="307"/>
    <x v="306"/>
    <x v="143"/>
    <x v="1"/>
    <x v="40"/>
    <x v="1"/>
    <n v="23.49"/>
    <n v="4.7"/>
    <n v="4804"/>
    <n v="13"/>
    <x v="20"/>
    <x v="8"/>
    <s v="978-7-21829-343-9"/>
    <n v="1615"/>
    <s v="View"/>
  </r>
  <r>
    <n v="308"/>
    <x v="307"/>
    <x v="82"/>
    <x v="0"/>
    <x v="47"/>
    <x v="2"/>
    <n v="16.11"/>
    <n v="4.7"/>
    <n v="4420"/>
    <n v="6"/>
    <x v="5"/>
    <x v="0"/>
    <s v="978-5-81531-533-7"/>
    <n v="6208"/>
    <s v="View"/>
  </r>
  <r>
    <n v="309"/>
    <x v="308"/>
    <x v="101"/>
    <x v="0"/>
    <x v="13"/>
    <x v="1"/>
    <n v="26.1"/>
    <n v="4.7"/>
    <n v="4431"/>
    <n v="14"/>
    <x v="29"/>
    <x v="3"/>
    <s v="978-6-11031-502-4"/>
    <n v="3082"/>
    <s v="View"/>
  </r>
  <r>
    <n v="310"/>
    <x v="309"/>
    <x v="122"/>
    <x v="0"/>
    <x v="45"/>
    <x v="2"/>
    <n v="21.64"/>
    <n v="4.2"/>
    <n v="3510"/>
    <n v="15"/>
    <x v="13"/>
    <x v="8"/>
    <s v="978-2-44205-618-1"/>
    <n v="3502"/>
    <s v="View"/>
  </r>
  <r>
    <n v="311"/>
    <x v="310"/>
    <x v="74"/>
    <x v="0"/>
    <x v="0"/>
    <x v="0"/>
    <n v="10.41"/>
    <n v="3.7"/>
    <n v="1115"/>
    <n v="14"/>
    <x v="30"/>
    <x v="5"/>
    <s v="978-5-69177-589-2"/>
    <n v="2757"/>
    <s v="View"/>
  </r>
  <r>
    <n v="312"/>
    <x v="311"/>
    <x v="76"/>
    <x v="1"/>
    <x v="5"/>
    <x v="1"/>
    <n v="25.14"/>
    <n v="4.3"/>
    <n v="778"/>
    <n v="8"/>
    <x v="34"/>
    <x v="3"/>
    <s v="978-2-16525-510-9"/>
    <n v="4137"/>
    <s v="View"/>
  </r>
  <r>
    <n v="313"/>
    <x v="312"/>
    <x v="147"/>
    <x v="1"/>
    <x v="15"/>
    <x v="2"/>
    <n v="31.26"/>
    <n v="4.4000000000000004"/>
    <n v="3179"/>
    <n v="3"/>
    <x v="25"/>
    <x v="2"/>
    <s v="978-9-38254-943-4"/>
    <n v="6579"/>
    <s v="View"/>
  </r>
  <r>
    <n v="314"/>
    <x v="313"/>
    <x v="20"/>
    <x v="1"/>
    <x v="14"/>
    <x v="1"/>
    <n v="28.32"/>
    <n v="4.8"/>
    <n v="3306"/>
    <n v="11"/>
    <x v="17"/>
    <x v="3"/>
    <s v="978-6-88275-362-1"/>
    <n v="1408"/>
    <s v="View"/>
  </r>
  <r>
    <n v="315"/>
    <x v="314"/>
    <x v="139"/>
    <x v="0"/>
    <x v="6"/>
    <x v="4"/>
    <n v="11.91"/>
    <n v="4.2"/>
    <n v="4176"/>
    <n v="8"/>
    <x v="11"/>
    <x v="8"/>
    <s v="978-2-21750-424-8"/>
    <n v="4176"/>
    <s v="View"/>
  </r>
  <r>
    <n v="316"/>
    <x v="315"/>
    <x v="86"/>
    <x v="0"/>
    <x v="0"/>
    <x v="2"/>
    <n v="21.3"/>
    <n v="4.3"/>
    <n v="4074"/>
    <n v="13"/>
    <x v="47"/>
    <x v="8"/>
    <s v="978-7-16975-293-2"/>
    <n v="1079"/>
    <s v="View"/>
  </r>
  <r>
    <n v="317"/>
    <x v="316"/>
    <x v="61"/>
    <x v="0"/>
    <x v="30"/>
    <x v="1"/>
    <n v="27.99"/>
    <n v="4.5"/>
    <n v="816"/>
    <n v="4"/>
    <x v="18"/>
    <x v="8"/>
    <s v="978-2-76681-942-4"/>
    <n v="5248"/>
    <s v="View"/>
  </r>
  <r>
    <n v="318"/>
    <x v="317"/>
    <x v="70"/>
    <x v="1"/>
    <x v="28"/>
    <x v="4"/>
    <n v="8.84"/>
    <n v="4.3"/>
    <n v="3110"/>
    <n v="10"/>
    <x v="13"/>
    <x v="8"/>
    <s v="978-5-30155-129-1"/>
    <n v="4406"/>
    <s v="View"/>
  </r>
  <r>
    <n v="319"/>
    <x v="318"/>
    <x v="148"/>
    <x v="1"/>
    <x v="28"/>
    <x v="3"/>
    <n v="10.68"/>
    <n v="4.0999999999999996"/>
    <n v="808"/>
    <n v="7"/>
    <x v="22"/>
    <x v="9"/>
    <s v="978-6-21690-121-3"/>
    <n v="1972"/>
    <s v="View"/>
  </r>
  <r>
    <n v="320"/>
    <x v="319"/>
    <x v="145"/>
    <x v="0"/>
    <x v="37"/>
    <x v="1"/>
    <n v="28.5"/>
    <n v="4.3"/>
    <n v="3952"/>
    <n v="5"/>
    <x v="28"/>
    <x v="5"/>
    <s v="978-1-65382-930-5"/>
    <n v="5668"/>
    <s v="View"/>
  </r>
  <r>
    <n v="321"/>
    <x v="320"/>
    <x v="149"/>
    <x v="1"/>
    <x v="14"/>
    <x v="1"/>
    <n v="18.02"/>
    <n v="4.5"/>
    <n v="1096"/>
    <n v="11"/>
    <x v="22"/>
    <x v="8"/>
    <s v="978-8-66063-402-9"/>
    <n v="1032"/>
    <s v="View"/>
  </r>
  <r>
    <n v="322"/>
    <x v="321"/>
    <x v="30"/>
    <x v="0"/>
    <x v="37"/>
    <x v="0"/>
    <n v="14.94"/>
    <n v="4.2"/>
    <n v="1520"/>
    <n v="13"/>
    <x v="27"/>
    <x v="14"/>
    <s v="978-0-20917-526-4"/>
    <n v="3215"/>
    <s v="View"/>
  </r>
  <r>
    <n v="323"/>
    <x v="322"/>
    <x v="1"/>
    <x v="1"/>
    <x v="5"/>
    <x v="0"/>
    <n v="9.11"/>
    <n v="4.2"/>
    <n v="3368"/>
    <n v="14"/>
    <x v="41"/>
    <x v="0"/>
    <s v="978-9-73795-410-9"/>
    <n v="7307"/>
    <s v="View"/>
  </r>
  <r>
    <n v="324"/>
    <x v="323"/>
    <x v="79"/>
    <x v="1"/>
    <x v="15"/>
    <x v="1"/>
    <n v="25.44"/>
    <n v="4.2"/>
    <n v="3619"/>
    <n v="14"/>
    <x v="48"/>
    <x v="0"/>
    <s v="978-3-21284-408-7"/>
    <n v="1861"/>
    <s v="View"/>
  </r>
  <r>
    <n v="325"/>
    <x v="324"/>
    <x v="117"/>
    <x v="0"/>
    <x v="11"/>
    <x v="0"/>
    <n v="9.06"/>
    <n v="4.0999999999999996"/>
    <n v="3455"/>
    <n v="14"/>
    <x v="53"/>
    <x v="11"/>
    <s v="978-9-82653-397-0"/>
    <n v="4643"/>
    <s v="View"/>
  </r>
  <r>
    <n v="326"/>
    <x v="325"/>
    <x v="13"/>
    <x v="0"/>
    <x v="47"/>
    <x v="0"/>
    <n v="14.59"/>
    <n v="4.0999999999999996"/>
    <n v="2890"/>
    <n v="8"/>
    <x v="7"/>
    <x v="0"/>
    <s v="978-2-47750-843-3"/>
    <n v="4496"/>
    <s v="View"/>
  </r>
  <r>
    <n v="327"/>
    <x v="326"/>
    <x v="97"/>
    <x v="0"/>
    <x v="38"/>
    <x v="0"/>
    <n v="15.73"/>
    <n v="4.3"/>
    <n v="1684"/>
    <n v="3"/>
    <x v="13"/>
    <x v="5"/>
    <s v="978-6-74713-410-3"/>
    <n v="2369"/>
    <s v="View"/>
  </r>
  <r>
    <n v="328"/>
    <x v="327"/>
    <x v="60"/>
    <x v="0"/>
    <x v="38"/>
    <x v="0"/>
    <n v="11.01"/>
    <n v="4.3"/>
    <n v="2162"/>
    <n v="6"/>
    <x v="52"/>
    <x v="1"/>
    <s v="978-0-83010-373-2"/>
    <n v="7647"/>
    <s v="View"/>
  </r>
  <r>
    <n v="329"/>
    <x v="328"/>
    <x v="150"/>
    <x v="1"/>
    <x v="3"/>
    <x v="1"/>
    <n v="28.31"/>
    <n v="4.5"/>
    <n v="2443"/>
    <n v="12"/>
    <x v="54"/>
    <x v="2"/>
    <s v="978-7-23014-257-5"/>
    <n v="3399"/>
    <s v="View"/>
  </r>
  <r>
    <n v="330"/>
    <x v="329"/>
    <x v="80"/>
    <x v="1"/>
    <x v="9"/>
    <x v="3"/>
    <n v="7.73"/>
    <n v="4.3"/>
    <n v="2060"/>
    <n v="3"/>
    <x v="44"/>
    <x v="1"/>
    <s v="978-6-39908-241-6"/>
    <n v="4046"/>
    <s v="View"/>
  </r>
  <r>
    <n v="331"/>
    <x v="330"/>
    <x v="8"/>
    <x v="0"/>
    <x v="18"/>
    <x v="1"/>
    <n v="22.1"/>
    <n v="5"/>
    <n v="1286"/>
    <n v="15"/>
    <x v="55"/>
    <x v="5"/>
    <s v="978-8-48761-529-6"/>
    <n v="7918"/>
    <s v="View"/>
  </r>
  <r>
    <n v="332"/>
    <x v="331"/>
    <x v="38"/>
    <x v="0"/>
    <x v="38"/>
    <x v="1"/>
    <n v="28.53"/>
    <n v="4.5"/>
    <n v="3363"/>
    <n v="13"/>
    <x v="1"/>
    <x v="3"/>
    <s v="978-1-14845-650-5"/>
    <n v="3858"/>
    <s v="View"/>
  </r>
  <r>
    <n v="333"/>
    <x v="332"/>
    <x v="6"/>
    <x v="1"/>
    <x v="5"/>
    <x v="2"/>
    <n v="25.79"/>
    <n v="4.4000000000000004"/>
    <n v="2539"/>
    <n v="12"/>
    <x v="54"/>
    <x v="2"/>
    <s v="978-1-17857-961-5"/>
    <n v="2793"/>
    <s v="View"/>
  </r>
  <r>
    <n v="334"/>
    <x v="333"/>
    <x v="40"/>
    <x v="0"/>
    <x v="44"/>
    <x v="0"/>
    <n v="16.05"/>
    <n v="4.9000000000000004"/>
    <n v="4742"/>
    <n v="11"/>
    <x v="17"/>
    <x v="12"/>
    <s v="978-8-42457-207-5"/>
    <n v="4898"/>
    <s v="View"/>
  </r>
  <r>
    <n v="335"/>
    <x v="334"/>
    <x v="90"/>
    <x v="1"/>
    <x v="15"/>
    <x v="0"/>
    <n v="15.08"/>
    <n v="4.0999999999999996"/>
    <n v="3284"/>
    <n v="14"/>
    <x v="35"/>
    <x v="9"/>
    <s v="978-6-67682-805-7"/>
    <n v="6664"/>
    <s v="View"/>
  </r>
  <r>
    <n v="336"/>
    <x v="335"/>
    <x v="32"/>
    <x v="0"/>
    <x v="45"/>
    <x v="3"/>
    <n v="12.49"/>
    <n v="4.5999999999999996"/>
    <n v="3075"/>
    <n v="15"/>
    <x v="37"/>
    <x v="8"/>
    <s v="978-6-24461-223-5"/>
    <n v="5355"/>
    <s v="View"/>
  </r>
  <r>
    <n v="337"/>
    <x v="336"/>
    <x v="93"/>
    <x v="0"/>
    <x v="10"/>
    <x v="0"/>
    <n v="17.04"/>
    <n v="4.5"/>
    <n v="4054"/>
    <n v="1"/>
    <x v="15"/>
    <x v="12"/>
    <s v="978-1-15856-527-7"/>
    <n v="5368"/>
    <s v="View"/>
  </r>
  <r>
    <n v="338"/>
    <x v="337"/>
    <x v="83"/>
    <x v="1"/>
    <x v="14"/>
    <x v="1"/>
    <n v="22.32"/>
    <n v="4.3"/>
    <n v="1957"/>
    <n v="15"/>
    <x v="48"/>
    <x v="2"/>
    <s v="978-0-97876-553-4"/>
    <n v="5967"/>
    <s v="View"/>
  </r>
  <r>
    <n v="339"/>
    <x v="338"/>
    <x v="125"/>
    <x v="0"/>
    <x v="45"/>
    <x v="2"/>
    <n v="17.399999999999999"/>
    <n v="4.5"/>
    <n v="205"/>
    <n v="5"/>
    <x v="22"/>
    <x v="1"/>
    <s v="978-9-68226-186-8"/>
    <n v="5649"/>
    <s v="View"/>
  </r>
  <r>
    <n v="340"/>
    <x v="339"/>
    <x v="99"/>
    <x v="1"/>
    <x v="42"/>
    <x v="0"/>
    <n v="9.8800000000000008"/>
    <n v="4.3"/>
    <n v="1427"/>
    <n v="5"/>
    <x v="20"/>
    <x v="12"/>
    <s v="978-1-30214-414-6"/>
    <n v="6239"/>
    <s v="View"/>
  </r>
  <r>
    <n v="341"/>
    <x v="340"/>
    <x v="119"/>
    <x v="1"/>
    <x v="42"/>
    <x v="2"/>
    <n v="32.979999999999997"/>
    <n v="4.5999999999999996"/>
    <n v="4940"/>
    <n v="10"/>
    <x v="54"/>
    <x v="3"/>
    <s v="978-8-60469-217-4"/>
    <n v="1178"/>
    <s v="View"/>
  </r>
  <r>
    <n v="342"/>
    <x v="341"/>
    <x v="139"/>
    <x v="0"/>
    <x v="23"/>
    <x v="0"/>
    <n v="12.65"/>
    <n v="4.5"/>
    <n v="737"/>
    <n v="14"/>
    <x v="25"/>
    <x v="0"/>
    <s v="978-2-58929-653-2"/>
    <n v="7090"/>
    <s v="View"/>
  </r>
  <r>
    <n v="343"/>
    <x v="342"/>
    <x v="110"/>
    <x v="0"/>
    <x v="10"/>
    <x v="0"/>
    <n v="10.44"/>
    <n v="4.3"/>
    <n v="784"/>
    <n v="7"/>
    <x v="32"/>
    <x v="0"/>
    <s v="978-8-46629-999-6"/>
    <n v="2413"/>
    <s v="View"/>
  </r>
  <r>
    <n v="344"/>
    <x v="343"/>
    <x v="77"/>
    <x v="1"/>
    <x v="39"/>
    <x v="2"/>
    <n v="27.17"/>
    <n v="4.4000000000000004"/>
    <n v="85"/>
    <n v="15"/>
    <x v="18"/>
    <x v="10"/>
    <s v="978-6-82848-813-7"/>
    <n v="6934"/>
    <s v="View"/>
  </r>
  <r>
    <n v="345"/>
    <x v="344"/>
    <x v="43"/>
    <x v="1"/>
    <x v="12"/>
    <x v="0"/>
    <n v="10.73"/>
    <n v="4.8"/>
    <n v="2353"/>
    <n v="11"/>
    <x v="15"/>
    <x v="8"/>
    <s v="978-3-21792-935-9"/>
    <n v="5811"/>
    <s v="View"/>
  </r>
  <r>
    <n v="346"/>
    <x v="345"/>
    <x v="8"/>
    <x v="0"/>
    <x v="30"/>
    <x v="1"/>
    <n v="25.57"/>
    <n v="4.4000000000000004"/>
    <n v="4684"/>
    <n v="11"/>
    <x v="46"/>
    <x v="0"/>
    <s v="978-2-18566-702-2"/>
    <n v="6803"/>
    <s v="View"/>
  </r>
  <r>
    <n v="347"/>
    <x v="346"/>
    <x v="27"/>
    <x v="0"/>
    <x v="46"/>
    <x v="2"/>
    <n v="21.45"/>
    <n v="4.5"/>
    <n v="1047"/>
    <n v="11"/>
    <x v="35"/>
    <x v="11"/>
    <s v="978-5-77797-877-0"/>
    <n v="7934"/>
    <s v="View"/>
  </r>
  <r>
    <n v="348"/>
    <x v="347"/>
    <x v="47"/>
    <x v="1"/>
    <x v="40"/>
    <x v="0"/>
    <n v="11.79"/>
    <n v="4.2"/>
    <n v="842"/>
    <n v="1"/>
    <x v="7"/>
    <x v="11"/>
    <s v="978-9-92090-442-4"/>
    <n v="2720"/>
    <s v="View"/>
  </r>
  <r>
    <n v="349"/>
    <x v="348"/>
    <x v="16"/>
    <x v="1"/>
    <x v="2"/>
    <x v="0"/>
    <n v="17"/>
    <n v="4.2"/>
    <n v="557"/>
    <n v="15"/>
    <x v="45"/>
    <x v="1"/>
    <s v="978-4-90050-741-6"/>
    <n v="1236"/>
    <s v="View"/>
  </r>
  <r>
    <n v="350"/>
    <x v="349"/>
    <x v="53"/>
    <x v="0"/>
    <x v="29"/>
    <x v="2"/>
    <n v="27.37"/>
    <n v="4"/>
    <n v="2832"/>
    <n v="11"/>
    <x v="7"/>
    <x v="8"/>
    <s v="978-7-77792-436-9"/>
    <n v="2276"/>
    <s v="View"/>
  </r>
  <r>
    <n v="351"/>
    <x v="350"/>
    <x v="114"/>
    <x v="1"/>
    <x v="40"/>
    <x v="3"/>
    <n v="4.53"/>
    <n v="4.3"/>
    <n v="2980"/>
    <n v="5"/>
    <x v="48"/>
    <x v="5"/>
    <s v="978-2-29321-580-4"/>
    <n v="5644"/>
    <s v="View"/>
  </r>
  <r>
    <n v="352"/>
    <x v="351"/>
    <x v="131"/>
    <x v="1"/>
    <x v="41"/>
    <x v="2"/>
    <n v="30.7"/>
    <n v="4.5999999999999996"/>
    <n v="2847"/>
    <n v="4"/>
    <x v="34"/>
    <x v="0"/>
    <s v="978-7-88612-809-5"/>
    <n v="7683"/>
    <s v="View"/>
  </r>
  <r>
    <n v="353"/>
    <x v="352"/>
    <x v="43"/>
    <x v="1"/>
    <x v="33"/>
    <x v="1"/>
    <n v="20.100000000000001"/>
    <n v="4.3"/>
    <n v="2765"/>
    <n v="13"/>
    <x v="25"/>
    <x v="1"/>
    <s v="978-6-34149-945-0"/>
    <n v="3678"/>
    <s v="View"/>
  </r>
  <r>
    <n v="354"/>
    <x v="353"/>
    <x v="44"/>
    <x v="1"/>
    <x v="41"/>
    <x v="0"/>
    <n v="16.96"/>
    <n v="3.8"/>
    <n v="1477"/>
    <n v="6"/>
    <x v="22"/>
    <x v="1"/>
    <s v="978-2-35688-122-2"/>
    <n v="7612"/>
    <s v="View"/>
  </r>
  <r>
    <n v="355"/>
    <x v="354"/>
    <x v="151"/>
    <x v="1"/>
    <x v="43"/>
    <x v="4"/>
    <n v="14.97"/>
    <n v="4.8"/>
    <n v="585"/>
    <n v="2"/>
    <x v="32"/>
    <x v="12"/>
    <s v="978-3-35124-645-6"/>
    <n v="6398"/>
    <s v="View"/>
  </r>
  <r>
    <n v="356"/>
    <x v="355"/>
    <x v="142"/>
    <x v="1"/>
    <x v="39"/>
    <x v="4"/>
    <n v="14.19"/>
    <n v="4.0999999999999996"/>
    <n v="1764"/>
    <n v="12"/>
    <x v="33"/>
    <x v="6"/>
    <s v="978-9-18503-271-8"/>
    <n v="3891"/>
    <s v="View"/>
  </r>
  <r>
    <n v="357"/>
    <x v="356"/>
    <x v="152"/>
    <x v="0"/>
    <x v="45"/>
    <x v="1"/>
    <n v="25.29"/>
    <n v="4.5"/>
    <n v="1747"/>
    <n v="4"/>
    <x v="29"/>
    <x v="8"/>
    <s v="978-3-61891-323-4"/>
    <n v="4195"/>
    <s v="View"/>
  </r>
  <r>
    <n v="358"/>
    <x v="357"/>
    <x v="72"/>
    <x v="1"/>
    <x v="33"/>
    <x v="0"/>
    <n v="13.6"/>
    <n v="4"/>
    <n v="2805"/>
    <n v="7"/>
    <x v="28"/>
    <x v="11"/>
    <s v="978-6-58170-923-7"/>
    <n v="3313"/>
    <s v="View"/>
  </r>
  <r>
    <n v="359"/>
    <x v="358"/>
    <x v="48"/>
    <x v="1"/>
    <x v="14"/>
    <x v="0"/>
    <n v="11.04"/>
    <n v="4.5999999999999996"/>
    <n v="4523"/>
    <n v="4"/>
    <x v="42"/>
    <x v="13"/>
    <s v="978-5-42771-409-4"/>
    <n v="2279"/>
    <s v="View"/>
  </r>
  <r>
    <n v="360"/>
    <x v="359"/>
    <x v="153"/>
    <x v="1"/>
    <x v="32"/>
    <x v="0"/>
    <n v="15.5"/>
    <n v="4.5999999999999996"/>
    <n v="1769"/>
    <n v="8"/>
    <x v="53"/>
    <x v="3"/>
    <s v="978-8-71438-839-7"/>
    <n v="3510"/>
    <s v="View"/>
  </r>
  <r>
    <n v="361"/>
    <x v="360"/>
    <x v="87"/>
    <x v="1"/>
    <x v="31"/>
    <x v="0"/>
    <n v="16.28"/>
    <n v="4.5"/>
    <n v="3483"/>
    <n v="7"/>
    <x v="27"/>
    <x v="0"/>
    <s v="978-8-49274-433-9"/>
    <n v="912"/>
    <s v="View"/>
  </r>
  <r>
    <n v="362"/>
    <x v="361"/>
    <x v="108"/>
    <x v="0"/>
    <x v="45"/>
    <x v="0"/>
    <n v="17.649999999999999"/>
    <n v="4.2"/>
    <n v="2545"/>
    <n v="2"/>
    <x v="42"/>
    <x v="14"/>
    <s v="978-8-33283-132-9"/>
    <n v="4726"/>
    <s v="View"/>
  </r>
  <r>
    <n v="363"/>
    <x v="362"/>
    <x v="4"/>
    <x v="0"/>
    <x v="24"/>
    <x v="0"/>
    <n v="16.73"/>
    <n v="4.3"/>
    <n v="957"/>
    <n v="3"/>
    <x v="33"/>
    <x v="5"/>
    <s v="978-1-60986-986-3"/>
    <n v="1790"/>
    <s v="View"/>
  </r>
  <r>
    <n v="364"/>
    <x v="363"/>
    <x v="29"/>
    <x v="0"/>
    <x v="27"/>
    <x v="3"/>
    <n v="9.43"/>
    <n v="4.5"/>
    <n v="2072"/>
    <n v="9"/>
    <x v="46"/>
    <x v="13"/>
    <s v="978-7-70319-573-9"/>
    <n v="1048"/>
    <s v="View"/>
  </r>
  <r>
    <n v="365"/>
    <x v="364"/>
    <x v="154"/>
    <x v="1"/>
    <x v="43"/>
    <x v="2"/>
    <n v="25.74"/>
    <n v="4.4000000000000004"/>
    <n v="1829"/>
    <n v="15"/>
    <x v="50"/>
    <x v="11"/>
    <s v="978-8-25889-477-1"/>
    <n v="6918"/>
    <s v="View"/>
  </r>
  <r>
    <n v="366"/>
    <x v="365"/>
    <x v="121"/>
    <x v="0"/>
    <x v="29"/>
    <x v="0"/>
    <n v="12.58"/>
    <n v="4.3"/>
    <n v="1642"/>
    <n v="7"/>
    <x v="20"/>
    <x v="18"/>
    <s v="978-1-27888-434-7"/>
    <n v="4703"/>
    <s v="View"/>
  </r>
  <r>
    <n v="367"/>
    <x v="366"/>
    <x v="155"/>
    <x v="1"/>
    <x v="28"/>
    <x v="1"/>
    <n v="22.07"/>
    <n v="4.8"/>
    <n v="2288"/>
    <n v="3"/>
    <x v="18"/>
    <x v="2"/>
    <s v="978-3-14514-791-8"/>
    <n v="2504"/>
    <s v="View"/>
  </r>
  <r>
    <n v="368"/>
    <x v="367"/>
    <x v="112"/>
    <x v="0"/>
    <x v="6"/>
    <x v="0"/>
    <n v="9.1300000000000008"/>
    <n v="4.5999999999999996"/>
    <n v="278"/>
    <n v="1"/>
    <x v="24"/>
    <x v="13"/>
    <s v="978-1-38910-198-2"/>
    <n v="6667"/>
    <s v="View"/>
  </r>
  <r>
    <n v="369"/>
    <x v="368"/>
    <x v="120"/>
    <x v="1"/>
    <x v="33"/>
    <x v="0"/>
    <n v="11.9"/>
    <n v="4.8"/>
    <n v="148"/>
    <n v="7"/>
    <x v="21"/>
    <x v="3"/>
    <s v="978-1-96240-934-4"/>
    <n v="6062"/>
    <s v="View"/>
  </r>
  <r>
    <n v="370"/>
    <x v="369"/>
    <x v="156"/>
    <x v="0"/>
    <x v="13"/>
    <x v="0"/>
    <n v="14.71"/>
    <n v="4.4000000000000004"/>
    <n v="2654"/>
    <n v="14"/>
    <x v="40"/>
    <x v="0"/>
    <s v="978-5-12313-723-9"/>
    <n v="4417"/>
    <s v="View"/>
  </r>
  <r>
    <n v="371"/>
    <x v="370"/>
    <x v="114"/>
    <x v="1"/>
    <x v="2"/>
    <x v="0"/>
    <n v="11.66"/>
    <n v="4.5"/>
    <n v="360"/>
    <n v="4"/>
    <x v="37"/>
    <x v="8"/>
    <s v="978-7-53082-237-4"/>
    <n v="3343"/>
    <s v="View"/>
  </r>
  <r>
    <n v="372"/>
    <x v="371"/>
    <x v="70"/>
    <x v="1"/>
    <x v="40"/>
    <x v="1"/>
    <n v="19.88"/>
    <n v="4.5"/>
    <n v="3175"/>
    <n v="9"/>
    <x v="29"/>
    <x v="13"/>
    <s v="978-0-18469-990-7"/>
    <n v="1317"/>
    <s v="View"/>
  </r>
  <r>
    <n v="373"/>
    <x v="372"/>
    <x v="135"/>
    <x v="1"/>
    <x v="41"/>
    <x v="1"/>
    <n v="24.87"/>
    <n v="4.3"/>
    <n v="1699"/>
    <n v="5"/>
    <x v="33"/>
    <x v="8"/>
    <s v="978-1-57131-507-6"/>
    <n v="2120"/>
    <s v="View"/>
  </r>
  <r>
    <n v="374"/>
    <x v="373"/>
    <x v="88"/>
    <x v="0"/>
    <x v="23"/>
    <x v="0"/>
    <n v="13.16"/>
    <n v="4.7"/>
    <n v="3765"/>
    <n v="5"/>
    <x v="37"/>
    <x v="2"/>
    <s v="978-7-19429-441-2"/>
    <n v="6604"/>
    <s v="View"/>
  </r>
  <r>
    <n v="375"/>
    <x v="374"/>
    <x v="101"/>
    <x v="0"/>
    <x v="30"/>
    <x v="1"/>
    <n v="24.64"/>
    <n v="4.3"/>
    <n v="1069"/>
    <n v="7"/>
    <x v="2"/>
    <x v="8"/>
    <s v="978-3-67186-361-5"/>
    <n v="4924"/>
    <s v="View"/>
  </r>
  <r>
    <n v="376"/>
    <x v="375"/>
    <x v="102"/>
    <x v="1"/>
    <x v="42"/>
    <x v="1"/>
    <n v="25.84"/>
    <n v="4.4000000000000004"/>
    <n v="2133"/>
    <n v="4"/>
    <x v="39"/>
    <x v="5"/>
    <s v="978-2-11617-219-1"/>
    <n v="6030"/>
    <s v="View"/>
  </r>
  <r>
    <n v="377"/>
    <x v="376"/>
    <x v="157"/>
    <x v="0"/>
    <x v="13"/>
    <x v="0"/>
    <n v="12.69"/>
    <n v="4.7"/>
    <n v="778"/>
    <n v="2"/>
    <x v="52"/>
    <x v="0"/>
    <s v="978-5-28705-375-3"/>
    <n v="8372"/>
    <s v="View"/>
  </r>
  <r>
    <n v="378"/>
    <x v="377"/>
    <x v="158"/>
    <x v="1"/>
    <x v="43"/>
    <x v="0"/>
    <n v="15.33"/>
    <n v="4.0999999999999996"/>
    <n v="1672"/>
    <n v="8"/>
    <x v="5"/>
    <x v="14"/>
    <s v="978-7-84329-933-3"/>
    <n v="2276"/>
    <s v="View"/>
  </r>
  <r>
    <n v="379"/>
    <x v="378"/>
    <x v="154"/>
    <x v="1"/>
    <x v="12"/>
    <x v="0"/>
    <n v="9.26"/>
    <n v="4.4000000000000004"/>
    <n v="875"/>
    <n v="1"/>
    <x v="50"/>
    <x v="6"/>
    <s v="978-0-97205-696-0"/>
    <n v="1551"/>
    <s v="View"/>
  </r>
  <r>
    <n v="380"/>
    <x v="379"/>
    <x v="159"/>
    <x v="1"/>
    <x v="40"/>
    <x v="1"/>
    <n v="21.91"/>
    <n v="4.7"/>
    <n v="518"/>
    <n v="6"/>
    <x v="13"/>
    <x v="8"/>
    <s v="978-0-69889-991-6"/>
    <n v="6701"/>
    <s v="View"/>
  </r>
  <r>
    <n v="381"/>
    <x v="380"/>
    <x v="131"/>
    <x v="1"/>
    <x v="1"/>
    <x v="4"/>
    <n v="13.68"/>
    <n v="4.5999999999999996"/>
    <n v="424"/>
    <n v="13"/>
    <x v="42"/>
    <x v="0"/>
    <s v="978-7-40612-721-7"/>
    <n v="4040"/>
    <s v="View"/>
  </r>
  <r>
    <n v="382"/>
    <x v="381"/>
    <x v="84"/>
    <x v="1"/>
    <x v="39"/>
    <x v="3"/>
    <n v="6.7"/>
    <n v="4.4000000000000004"/>
    <n v="4545"/>
    <n v="14"/>
    <x v="29"/>
    <x v="11"/>
    <s v="978-1-73198-778-8"/>
    <n v="2737"/>
    <s v="View"/>
  </r>
  <r>
    <n v="383"/>
    <x v="382"/>
    <x v="55"/>
    <x v="0"/>
    <x v="45"/>
    <x v="1"/>
    <n v="28.99"/>
    <n v="4.2"/>
    <n v="2776"/>
    <n v="14"/>
    <x v="46"/>
    <x v="3"/>
    <s v="978-9-18476-759-5"/>
    <n v="3854"/>
    <s v="View"/>
  </r>
  <r>
    <n v="384"/>
    <x v="383"/>
    <x v="160"/>
    <x v="0"/>
    <x v="10"/>
    <x v="3"/>
    <n v="5.03"/>
    <n v="4.2"/>
    <n v="3062"/>
    <n v="3"/>
    <x v="17"/>
    <x v="1"/>
    <s v="978-9-10220-418-0"/>
    <n v="5601"/>
    <s v="View"/>
  </r>
  <r>
    <n v="385"/>
    <x v="384"/>
    <x v="58"/>
    <x v="0"/>
    <x v="0"/>
    <x v="3"/>
    <n v="6.66"/>
    <n v="4.5"/>
    <n v="1257"/>
    <n v="10"/>
    <x v="41"/>
    <x v="9"/>
    <s v="978-0-88496-427-4"/>
    <n v="4885"/>
    <s v="View"/>
  </r>
  <r>
    <n v="386"/>
    <x v="385"/>
    <x v="68"/>
    <x v="1"/>
    <x v="2"/>
    <x v="0"/>
    <n v="13.38"/>
    <n v="4.8"/>
    <n v="3259"/>
    <n v="5"/>
    <x v="39"/>
    <x v="8"/>
    <s v="978-2-12826-661-6"/>
    <n v="3536"/>
    <s v="View"/>
  </r>
  <r>
    <n v="387"/>
    <x v="386"/>
    <x v="148"/>
    <x v="1"/>
    <x v="39"/>
    <x v="3"/>
    <n v="9.2100000000000009"/>
    <n v="4.5999999999999996"/>
    <n v="2540"/>
    <n v="8"/>
    <x v="46"/>
    <x v="0"/>
    <s v="978-2-67918-812-7"/>
    <n v="3158"/>
    <s v="View"/>
  </r>
  <r>
    <n v="388"/>
    <x v="387"/>
    <x v="13"/>
    <x v="0"/>
    <x v="44"/>
    <x v="0"/>
    <n v="9.4600000000000009"/>
    <n v="3.9"/>
    <n v="4272"/>
    <n v="11"/>
    <x v="28"/>
    <x v="13"/>
    <s v="978-2-92178-839-6"/>
    <n v="2783"/>
    <s v="View"/>
  </r>
  <r>
    <n v="389"/>
    <x v="388"/>
    <x v="155"/>
    <x v="1"/>
    <x v="1"/>
    <x v="0"/>
    <n v="10.09"/>
    <n v="4.0999999999999996"/>
    <n v="1892"/>
    <n v="1"/>
    <x v="46"/>
    <x v="5"/>
    <s v="978-7-45877-810-1"/>
    <n v="7285"/>
    <s v="View"/>
  </r>
  <r>
    <n v="390"/>
    <x v="389"/>
    <x v="161"/>
    <x v="0"/>
    <x v="18"/>
    <x v="3"/>
    <n v="11.04"/>
    <n v="4"/>
    <n v="4392"/>
    <n v="8"/>
    <x v="53"/>
    <x v="6"/>
    <s v="978-8-95419-227-3"/>
    <n v="8690"/>
    <s v="View"/>
  </r>
  <r>
    <n v="391"/>
    <x v="390"/>
    <x v="76"/>
    <x v="1"/>
    <x v="14"/>
    <x v="0"/>
    <n v="15.77"/>
    <n v="4.5"/>
    <n v="2495"/>
    <n v="6"/>
    <x v="2"/>
    <x v="8"/>
    <s v="978-6-96266-100-3"/>
    <n v="3244"/>
    <s v="View"/>
  </r>
  <r>
    <n v="392"/>
    <x v="391"/>
    <x v="63"/>
    <x v="1"/>
    <x v="3"/>
    <x v="3"/>
    <n v="6.12"/>
    <n v="4.5"/>
    <n v="1590"/>
    <n v="3"/>
    <x v="25"/>
    <x v="9"/>
    <s v="978-2-88924-665-3"/>
    <n v="5631"/>
    <s v="View"/>
  </r>
  <r>
    <n v="393"/>
    <x v="392"/>
    <x v="58"/>
    <x v="0"/>
    <x v="46"/>
    <x v="1"/>
    <n v="17.91"/>
    <n v="4.3"/>
    <n v="1628"/>
    <n v="12"/>
    <x v="39"/>
    <x v="13"/>
    <s v="978-8-89291-267-6"/>
    <n v="7516"/>
    <s v="View"/>
  </r>
  <r>
    <n v="394"/>
    <x v="393"/>
    <x v="41"/>
    <x v="0"/>
    <x v="25"/>
    <x v="0"/>
    <n v="11.99"/>
    <n v="3.6"/>
    <n v="2288"/>
    <n v="3"/>
    <x v="21"/>
    <x v="8"/>
    <s v="978-4-11292-200-6"/>
    <n v="8811"/>
    <s v="View"/>
  </r>
  <r>
    <n v="395"/>
    <x v="394"/>
    <x v="102"/>
    <x v="1"/>
    <x v="9"/>
    <x v="0"/>
    <n v="9.42"/>
    <n v="4.2"/>
    <n v="1530"/>
    <n v="6"/>
    <x v="42"/>
    <x v="1"/>
    <s v="978-8-82308-708-6"/>
    <n v="4696"/>
    <s v="View"/>
  </r>
  <r>
    <n v="396"/>
    <x v="395"/>
    <x v="36"/>
    <x v="0"/>
    <x v="29"/>
    <x v="1"/>
    <n v="21.59"/>
    <n v="4.8"/>
    <n v="3889"/>
    <n v="9"/>
    <x v="28"/>
    <x v="9"/>
    <s v="978-8-39984-412-1"/>
    <n v="8553"/>
    <s v="View"/>
  </r>
  <r>
    <n v="397"/>
    <x v="396"/>
    <x v="4"/>
    <x v="0"/>
    <x v="30"/>
    <x v="4"/>
    <n v="10.96"/>
    <n v="4"/>
    <n v="3979"/>
    <n v="8"/>
    <x v="42"/>
    <x v="11"/>
    <s v="978-8-26343-515-0"/>
    <n v="5842"/>
    <s v="View"/>
  </r>
  <r>
    <n v="398"/>
    <x v="397"/>
    <x v="34"/>
    <x v="1"/>
    <x v="35"/>
    <x v="0"/>
    <n v="10.19"/>
    <n v="4.4000000000000004"/>
    <n v="2944"/>
    <n v="1"/>
    <x v="17"/>
    <x v="2"/>
    <s v="978-2-58927-215-5"/>
    <n v="8283"/>
    <s v="View"/>
  </r>
  <r>
    <n v="399"/>
    <x v="398"/>
    <x v="32"/>
    <x v="0"/>
    <x v="37"/>
    <x v="2"/>
    <n v="32.840000000000003"/>
    <n v="4.4000000000000004"/>
    <n v="98"/>
    <n v="10"/>
    <x v="1"/>
    <x v="11"/>
    <s v="978-5-24046-105-5"/>
    <n v="3848"/>
    <s v="View"/>
  </r>
  <r>
    <n v="400"/>
    <x v="399"/>
    <x v="146"/>
    <x v="1"/>
    <x v="1"/>
    <x v="3"/>
    <n v="6.24"/>
    <n v="4.3"/>
    <n v="3905"/>
    <n v="7"/>
    <x v="10"/>
    <x v="13"/>
    <s v="978-6-33878-649-4"/>
    <n v="2580"/>
    <s v="View"/>
  </r>
  <r>
    <n v="401"/>
    <x v="400"/>
    <x v="114"/>
    <x v="1"/>
    <x v="17"/>
    <x v="0"/>
    <n v="15.69"/>
    <n v="4.5"/>
    <n v="1680"/>
    <n v="8"/>
    <x v="4"/>
    <x v="8"/>
    <s v="978-1-65193-600-8"/>
    <n v="8921"/>
    <s v="View"/>
  </r>
  <r>
    <n v="402"/>
    <x v="401"/>
    <x v="4"/>
    <x v="0"/>
    <x v="37"/>
    <x v="3"/>
    <n v="6.12"/>
    <n v="4.3"/>
    <n v="2852"/>
    <n v="7"/>
    <x v="41"/>
    <x v="8"/>
    <s v="978-0-66928-591-4"/>
    <n v="5427"/>
    <s v="View"/>
  </r>
  <r>
    <n v="403"/>
    <x v="402"/>
    <x v="108"/>
    <x v="0"/>
    <x v="45"/>
    <x v="3"/>
    <n v="8.51"/>
    <n v="4.7"/>
    <n v="4893"/>
    <n v="11"/>
    <x v="21"/>
    <x v="0"/>
    <s v="978-1-27340-510-0"/>
    <n v="5292"/>
    <s v="View"/>
  </r>
  <r>
    <n v="404"/>
    <x v="403"/>
    <x v="53"/>
    <x v="0"/>
    <x v="25"/>
    <x v="1"/>
    <n v="23.62"/>
    <n v="5"/>
    <n v="473"/>
    <n v="5"/>
    <x v="10"/>
    <x v="4"/>
    <s v="978-4-56009-828-6"/>
    <n v="4854"/>
    <s v="View"/>
  </r>
  <r>
    <n v="405"/>
    <x v="404"/>
    <x v="56"/>
    <x v="1"/>
    <x v="35"/>
    <x v="2"/>
    <n v="22.26"/>
    <n v="4.4000000000000004"/>
    <n v="161"/>
    <n v="11"/>
    <x v="32"/>
    <x v="5"/>
    <s v="978-5-57260-859-5"/>
    <n v="6898"/>
    <s v="View"/>
  </r>
  <r>
    <n v="406"/>
    <x v="405"/>
    <x v="162"/>
    <x v="1"/>
    <x v="34"/>
    <x v="1"/>
    <n v="20.91"/>
    <n v="4.5"/>
    <n v="3934"/>
    <n v="13"/>
    <x v="49"/>
    <x v="3"/>
    <s v="978-2-15742-230-3"/>
    <n v="7663"/>
    <s v="View"/>
  </r>
  <r>
    <n v="407"/>
    <x v="406"/>
    <x v="150"/>
    <x v="1"/>
    <x v="5"/>
    <x v="1"/>
    <n v="26.05"/>
    <n v="4.5"/>
    <n v="4688"/>
    <n v="1"/>
    <x v="34"/>
    <x v="1"/>
    <s v="978-3-62100-606-8"/>
    <n v="2042"/>
    <s v="View"/>
  </r>
  <r>
    <n v="408"/>
    <x v="407"/>
    <x v="4"/>
    <x v="0"/>
    <x v="10"/>
    <x v="2"/>
    <n v="30.8"/>
    <n v="4.5"/>
    <n v="3780"/>
    <n v="9"/>
    <x v="44"/>
    <x v="0"/>
    <s v="978-4-49768-972-3"/>
    <n v="5671"/>
    <s v="View"/>
  </r>
  <r>
    <n v="409"/>
    <x v="408"/>
    <x v="163"/>
    <x v="1"/>
    <x v="9"/>
    <x v="0"/>
    <n v="17.809999999999999"/>
    <n v="4.5999999999999996"/>
    <n v="1001"/>
    <n v="1"/>
    <x v="55"/>
    <x v="0"/>
    <s v="978-9-58380-432-1"/>
    <n v="5144"/>
    <s v="View"/>
  </r>
  <r>
    <n v="410"/>
    <x v="409"/>
    <x v="108"/>
    <x v="0"/>
    <x v="10"/>
    <x v="3"/>
    <n v="10.18"/>
    <n v="4.4000000000000004"/>
    <n v="2158"/>
    <n v="14"/>
    <x v="37"/>
    <x v="0"/>
    <s v="978-8-37021-936-7"/>
    <n v="4434"/>
    <s v="View"/>
  </r>
  <r>
    <n v="411"/>
    <x v="410"/>
    <x v="107"/>
    <x v="1"/>
    <x v="35"/>
    <x v="0"/>
    <n v="16.75"/>
    <n v="4.5"/>
    <n v="1527"/>
    <n v="11"/>
    <x v="1"/>
    <x v="9"/>
    <s v="978-2-33295-937-6"/>
    <n v="3899"/>
    <s v="View"/>
  </r>
  <r>
    <n v="412"/>
    <x v="411"/>
    <x v="143"/>
    <x v="1"/>
    <x v="5"/>
    <x v="3"/>
    <n v="10.86"/>
    <n v="4.7"/>
    <n v="408"/>
    <n v="3"/>
    <x v="38"/>
    <x v="3"/>
    <s v="978-4-28695-742-9"/>
    <n v="1045"/>
    <s v="View"/>
  </r>
  <r>
    <n v="413"/>
    <x v="412"/>
    <x v="66"/>
    <x v="0"/>
    <x v="45"/>
    <x v="0"/>
    <n v="13.88"/>
    <n v="4.4000000000000004"/>
    <n v="223"/>
    <n v="14"/>
    <x v="48"/>
    <x v="19"/>
    <s v="978-4-23443-623-6"/>
    <n v="3149"/>
    <s v="View"/>
  </r>
  <r>
    <n v="414"/>
    <x v="413"/>
    <x v="143"/>
    <x v="1"/>
    <x v="43"/>
    <x v="0"/>
    <n v="17.600000000000001"/>
    <n v="4.7"/>
    <n v="2358"/>
    <n v="6"/>
    <x v="6"/>
    <x v="6"/>
    <s v="978-1-57250-186-0"/>
    <n v="3303"/>
    <s v="View"/>
  </r>
  <r>
    <n v="415"/>
    <x v="414"/>
    <x v="63"/>
    <x v="1"/>
    <x v="42"/>
    <x v="3"/>
    <n v="11.09"/>
    <n v="4.8"/>
    <n v="1250"/>
    <n v="6"/>
    <x v="29"/>
    <x v="12"/>
    <s v="978-7-18822-215-9"/>
    <n v="7833"/>
    <s v="View"/>
  </r>
  <r>
    <n v="416"/>
    <x v="415"/>
    <x v="94"/>
    <x v="0"/>
    <x v="47"/>
    <x v="3"/>
    <n v="6.99"/>
    <n v="3.9"/>
    <n v="2064"/>
    <n v="7"/>
    <x v="35"/>
    <x v="2"/>
    <s v="978-8-79962-604-8"/>
    <n v="4602"/>
    <s v="View"/>
  </r>
  <r>
    <n v="417"/>
    <x v="416"/>
    <x v="156"/>
    <x v="0"/>
    <x v="45"/>
    <x v="2"/>
    <n v="16.18"/>
    <n v="4.0999999999999996"/>
    <n v="1191"/>
    <n v="5"/>
    <x v="47"/>
    <x v="11"/>
    <s v="978-6-41784-315-3"/>
    <n v="1749"/>
    <s v="View"/>
  </r>
  <r>
    <n v="418"/>
    <x v="417"/>
    <x v="159"/>
    <x v="1"/>
    <x v="32"/>
    <x v="0"/>
    <n v="11.2"/>
    <n v="4.8"/>
    <n v="152"/>
    <n v="10"/>
    <x v="30"/>
    <x v="1"/>
    <s v="978-2-33910-581-2"/>
    <n v="5743"/>
    <s v="View"/>
  </r>
  <r>
    <n v="419"/>
    <x v="418"/>
    <x v="53"/>
    <x v="0"/>
    <x v="18"/>
    <x v="1"/>
    <n v="28.38"/>
    <n v="4"/>
    <n v="4736"/>
    <n v="9"/>
    <x v="21"/>
    <x v="13"/>
    <s v="978-6-30552-378-1"/>
    <n v="7023"/>
    <s v="View"/>
  </r>
  <r>
    <n v="420"/>
    <x v="419"/>
    <x v="121"/>
    <x v="0"/>
    <x v="18"/>
    <x v="0"/>
    <n v="16.22"/>
    <n v="4.2"/>
    <n v="3525"/>
    <n v="4"/>
    <x v="13"/>
    <x v="9"/>
    <s v="978-1-57540-717-5"/>
    <n v="1299"/>
    <s v="View"/>
  </r>
  <r>
    <n v="421"/>
    <x v="420"/>
    <x v="35"/>
    <x v="1"/>
    <x v="9"/>
    <x v="4"/>
    <n v="11.94"/>
    <n v="4"/>
    <n v="424"/>
    <n v="1"/>
    <x v="1"/>
    <x v="13"/>
    <s v="978-0-56746-869-4"/>
    <n v="7365"/>
    <s v="View"/>
  </r>
  <r>
    <n v="422"/>
    <x v="421"/>
    <x v="121"/>
    <x v="0"/>
    <x v="10"/>
    <x v="1"/>
    <n v="28.28"/>
    <n v="4.2"/>
    <n v="356"/>
    <n v="5"/>
    <x v="42"/>
    <x v="14"/>
    <s v="978-7-20322-740-1"/>
    <n v="4638"/>
    <s v="View"/>
  </r>
  <r>
    <n v="423"/>
    <x v="422"/>
    <x v="86"/>
    <x v="0"/>
    <x v="38"/>
    <x v="0"/>
    <n v="15.4"/>
    <n v="4.3"/>
    <n v="664"/>
    <n v="3"/>
    <x v="35"/>
    <x v="5"/>
    <s v="978-1-11958-246-4"/>
    <n v="2274"/>
    <s v="View"/>
  </r>
  <r>
    <n v="424"/>
    <x v="423"/>
    <x v="128"/>
    <x v="0"/>
    <x v="29"/>
    <x v="4"/>
    <n v="14.84"/>
    <n v="4.2"/>
    <n v="3671"/>
    <n v="11"/>
    <x v="5"/>
    <x v="8"/>
    <s v="978-9-73997-140-5"/>
    <n v="5544"/>
    <s v="View"/>
  </r>
  <r>
    <n v="425"/>
    <x v="424"/>
    <x v="83"/>
    <x v="1"/>
    <x v="17"/>
    <x v="4"/>
    <n v="8.39"/>
    <n v="4.5"/>
    <n v="4644"/>
    <n v="1"/>
    <x v="13"/>
    <x v="14"/>
    <s v="978-4-59259-262-9"/>
    <n v="7391"/>
    <s v="View"/>
  </r>
  <r>
    <n v="426"/>
    <x v="425"/>
    <x v="153"/>
    <x v="1"/>
    <x v="3"/>
    <x v="3"/>
    <n v="5.79"/>
    <n v="4"/>
    <n v="2742"/>
    <n v="2"/>
    <x v="37"/>
    <x v="13"/>
    <s v="978-7-37870-819-7"/>
    <n v="2725"/>
    <s v="View"/>
  </r>
  <r>
    <n v="427"/>
    <x v="426"/>
    <x v="164"/>
    <x v="0"/>
    <x v="45"/>
    <x v="0"/>
    <n v="16.8"/>
    <n v="4.8"/>
    <n v="2260"/>
    <n v="5"/>
    <x v="38"/>
    <x v="0"/>
    <s v="978-2-19077-380-6"/>
    <n v="2192"/>
    <s v="View"/>
  </r>
  <r>
    <n v="428"/>
    <x v="427"/>
    <x v="47"/>
    <x v="1"/>
    <x v="43"/>
    <x v="0"/>
    <n v="12.76"/>
    <n v="4.3"/>
    <n v="3945"/>
    <n v="9"/>
    <x v="2"/>
    <x v="0"/>
    <s v="978-6-56490-809-9"/>
    <n v="7231"/>
    <s v="View"/>
  </r>
  <r>
    <n v="429"/>
    <x v="428"/>
    <x v="51"/>
    <x v="0"/>
    <x v="0"/>
    <x v="3"/>
    <n v="10.06"/>
    <n v="4.4000000000000004"/>
    <n v="3740"/>
    <n v="14"/>
    <x v="55"/>
    <x v="1"/>
    <s v="978-7-93744-692-1"/>
    <n v="1455"/>
    <s v="View"/>
  </r>
  <r>
    <n v="430"/>
    <x v="429"/>
    <x v="133"/>
    <x v="1"/>
    <x v="5"/>
    <x v="2"/>
    <n v="25.03"/>
    <n v="4.8"/>
    <n v="1071"/>
    <n v="12"/>
    <x v="11"/>
    <x v="11"/>
    <s v="978-6-63790-460-5"/>
    <n v="7837"/>
    <s v="View"/>
  </r>
  <r>
    <n v="431"/>
    <x v="430"/>
    <x v="63"/>
    <x v="1"/>
    <x v="28"/>
    <x v="1"/>
    <n v="22.68"/>
    <n v="4.3"/>
    <n v="862"/>
    <n v="2"/>
    <x v="13"/>
    <x v="1"/>
    <s v="978-1-95147-116-9"/>
    <n v="7600"/>
    <s v="View"/>
  </r>
  <r>
    <n v="432"/>
    <x v="431"/>
    <x v="121"/>
    <x v="0"/>
    <x v="23"/>
    <x v="0"/>
    <n v="16.7"/>
    <n v="4.7"/>
    <n v="1069"/>
    <n v="6"/>
    <x v="11"/>
    <x v="8"/>
    <s v="978-6-94523-820-6"/>
    <n v="988"/>
    <s v="View"/>
  </r>
  <r>
    <n v="433"/>
    <x v="432"/>
    <x v="146"/>
    <x v="1"/>
    <x v="5"/>
    <x v="3"/>
    <n v="11.56"/>
    <n v="4"/>
    <n v="2650"/>
    <n v="6"/>
    <x v="46"/>
    <x v="14"/>
    <s v="978-6-41697-669-6"/>
    <n v="4022"/>
    <s v="View"/>
  </r>
  <r>
    <n v="434"/>
    <x v="433"/>
    <x v="39"/>
    <x v="1"/>
    <x v="3"/>
    <x v="3"/>
    <n v="8.5299999999999994"/>
    <n v="4.4000000000000004"/>
    <n v="4776"/>
    <n v="13"/>
    <x v="50"/>
    <x v="2"/>
    <s v="978-4-82470-262-5"/>
    <n v="4206"/>
    <s v="View"/>
  </r>
  <r>
    <n v="435"/>
    <x v="434"/>
    <x v="67"/>
    <x v="1"/>
    <x v="35"/>
    <x v="1"/>
    <n v="19.87"/>
    <n v="4.5999999999999996"/>
    <n v="3147"/>
    <n v="13"/>
    <x v="45"/>
    <x v="9"/>
    <s v="978-4-20874-247-0"/>
    <n v="2564"/>
    <s v="View"/>
  </r>
  <r>
    <n v="436"/>
    <x v="435"/>
    <x v="104"/>
    <x v="0"/>
    <x v="18"/>
    <x v="1"/>
    <n v="17.28"/>
    <n v="4.8"/>
    <n v="652"/>
    <n v="8"/>
    <x v="40"/>
    <x v="8"/>
    <s v="978-3-65038-484-5"/>
    <n v="8259"/>
    <s v="View"/>
  </r>
  <r>
    <n v="437"/>
    <x v="436"/>
    <x v="82"/>
    <x v="0"/>
    <x v="24"/>
    <x v="2"/>
    <n v="18.850000000000001"/>
    <n v="4.5"/>
    <n v="4242"/>
    <n v="13"/>
    <x v="10"/>
    <x v="12"/>
    <s v="978-1-38437-130-5"/>
    <n v="3144"/>
    <s v="View"/>
  </r>
  <r>
    <n v="438"/>
    <x v="437"/>
    <x v="110"/>
    <x v="0"/>
    <x v="46"/>
    <x v="2"/>
    <n v="33.44"/>
    <n v="4.4000000000000004"/>
    <n v="2098"/>
    <n v="3"/>
    <x v="43"/>
    <x v="3"/>
    <s v="978-4-61488-205-9"/>
    <n v="5981"/>
    <s v="View"/>
  </r>
  <r>
    <n v="439"/>
    <x v="438"/>
    <x v="29"/>
    <x v="0"/>
    <x v="6"/>
    <x v="1"/>
    <n v="28.55"/>
    <n v="4.5999999999999996"/>
    <n v="3407"/>
    <n v="5"/>
    <x v="26"/>
    <x v="5"/>
    <s v="978-8-56170-507-0"/>
    <n v="2756"/>
    <s v="View"/>
  </r>
  <r>
    <n v="440"/>
    <x v="439"/>
    <x v="9"/>
    <x v="1"/>
    <x v="1"/>
    <x v="1"/>
    <n v="26.31"/>
    <n v="4.4000000000000004"/>
    <n v="1801"/>
    <n v="8"/>
    <x v="19"/>
    <x v="5"/>
    <s v="978-3-83615-167-6"/>
    <n v="5526"/>
    <s v="View"/>
  </r>
  <r>
    <n v="441"/>
    <x v="440"/>
    <x v="84"/>
    <x v="1"/>
    <x v="2"/>
    <x v="1"/>
    <n v="29.86"/>
    <n v="4.3"/>
    <n v="1451"/>
    <n v="10"/>
    <x v="17"/>
    <x v="13"/>
    <s v="978-3-85551-121-4"/>
    <n v="1174"/>
    <s v="View"/>
  </r>
  <r>
    <n v="442"/>
    <x v="441"/>
    <x v="100"/>
    <x v="1"/>
    <x v="34"/>
    <x v="0"/>
    <n v="16.21"/>
    <n v="4.5"/>
    <n v="2515"/>
    <n v="5"/>
    <x v="15"/>
    <x v="13"/>
    <s v="978-6-20455-669-5"/>
    <n v="8974"/>
    <s v="View"/>
  </r>
  <r>
    <n v="443"/>
    <x v="442"/>
    <x v="148"/>
    <x v="1"/>
    <x v="3"/>
    <x v="2"/>
    <n v="29.48"/>
    <n v="4.4000000000000004"/>
    <n v="3071"/>
    <n v="14"/>
    <x v="3"/>
    <x v="8"/>
    <s v="978-0-44037-903-0"/>
    <n v="2701"/>
    <s v="View"/>
  </r>
  <r>
    <n v="444"/>
    <x v="443"/>
    <x v="49"/>
    <x v="1"/>
    <x v="32"/>
    <x v="1"/>
    <n v="28.04"/>
    <n v="4.5"/>
    <n v="3435"/>
    <n v="11"/>
    <x v="5"/>
    <x v="11"/>
    <s v="978-8-79152-346-9"/>
    <n v="8718"/>
    <s v="View"/>
  </r>
  <r>
    <n v="445"/>
    <x v="444"/>
    <x v="34"/>
    <x v="1"/>
    <x v="34"/>
    <x v="4"/>
    <n v="8.41"/>
    <n v="4.5999999999999996"/>
    <n v="3204"/>
    <n v="4"/>
    <x v="6"/>
    <x v="11"/>
    <s v="978-3-87401-879-8"/>
    <n v="9310"/>
    <s v="View"/>
  </r>
  <r>
    <n v="446"/>
    <x v="445"/>
    <x v="160"/>
    <x v="0"/>
    <x v="18"/>
    <x v="0"/>
    <n v="12.8"/>
    <n v="4.4000000000000004"/>
    <n v="2566"/>
    <n v="14"/>
    <x v="13"/>
    <x v="5"/>
    <s v="978-2-70418-997-1"/>
    <n v="2697"/>
    <s v="View"/>
  </r>
  <r>
    <n v="447"/>
    <x v="446"/>
    <x v="86"/>
    <x v="0"/>
    <x v="44"/>
    <x v="0"/>
    <n v="12.56"/>
    <n v="4.2"/>
    <n v="3665"/>
    <n v="5"/>
    <x v="45"/>
    <x v="13"/>
    <s v="978-6-65389-298-4"/>
    <n v="3997"/>
    <s v="View"/>
  </r>
  <r>
    <n v="448"/>
    <x v="447"/>
    <x v="16"/>
    <x v="1"/>
    <x v="2"/>
    <x v="1"/>
    <n v="20.09"/>
    <n v="4.5"/>
    <n v="4409"/>
    <n v="2"/>
    <x v="36"/>
    <x v="9"/>
    <s v="978-6-61368-502-1"/>
    <n v="4498"/>
    <s v="View"/>
  </r>
  <r>
    <n v="449"/>
    <x v="448"/>
    <x v="109"/>
    <x v="0"/>
    <x v="38"/>
    <x v="3"/>
    <n v="11.66"/>
    <n v="4.3"/>
    <n v="618"/>
    <n v="3"/>
    <x v="11"/>
    <x v="14"/>
    <s v="978-2-11669-782-7"/>
    <n v="7909"/>
    <s v="View"/>
  </r>
  <r>
    <n v="450"/>
    <x v="449"/>
    <x v="151"/>
    <x v="1"/>
    <x v="33"/>
    <x v="1"/>
    <n v="26.8"/>
    <n v="4.3"/>
    <n v="819"/>
    <n v="2"/>
    <x v="41"/>
    <x v="9"/>
    <s v="978-5-69325-602-5"/>
    <n v="5116"/>
    <s v="View"/>
  </r>
  <r>
    <n v="451"/>
    <x v="450"/>
    <x v="14"/>
    <x v="1"/>
    <x v="32"/>
    <x v="1"/>
    <n v="20.170000000000002"/>
    <n v="4.4000000000000004"/>
    <n v="2994"/>
    <n v="4"/>
    <x v="24"/>
    <x v="1"/>
    <s v="978-6-93720-210-4"/>
    <n v="8262"/>
    <s v="View"/>
  </r>
  <r>
    <n v="452"/>
    <x v="451"/>
    <x v="136"/>
    <x v="0"/>
    <x v="25"/>
    <x v="0"/>
    <n v="16.149999999999999"/>
    <n v="3.7"/>
    <n v="4692"/>
    <n v="13"/>
    <x v="0"/>
    <x v="1"/>
    <s v="978-1-11092-610-2"/>
    <n v="8544"/>
    <s v="View"/>
  </r>
  <r>
    <n v="453"/>
    <x v="452"/>
    <x v="44"/>
    <x v="1"/>
    <x v="15"/>
    <x v="3"/>
    <n v="5.0999999999999996"/>
    <n v="4.4000000000000004"/>
    <n v="2935"/>
    <n v="11"/>
    <x v="45"/>
    <x v="1"/>
    <s v="978-4-28051-458-4"/>
    <n v="9130"/>
    <s v="View"/>
  </r>
  <r>
    <n v="454"/>
    <x v="453"/>
    <x v="132"/>
    <x v="0"/>
    <x v="44"/>
    <x v="3"/>
    <n v="9.7200000000000006"/>
    <n v="4.4000000000000004"/>
    <n v="3511"/>
    <n v="7"/>
    <x v="13"/>
    <x v="8"/>
    <s v="978-4-49586-711-4"/>
    <n v="3747"/>
    <s v="View"/>
  </r>
  <r>
    <n v="455"/>
    <x v="454"/>
    <x v="3"/>
    <x v="1"/>
    <x v="31"/>
    <x v="2"/>
    <n v="24.21"/>
    <n v="4.5999999999999996"/>
    <n v="3629"/>
    <n v="2"/>
    <x v="29"/>
    <x v="12"/>
    <s v="978-5-76036-801-5"/>
    <n v="8583"/>
    <s v="View"/>
  </r>
  <r>
    <n v="456"/>
    <x v="455"/>
    <x v="110"/>
    <x v="0"/>
    <x v="10"/>
    <x v="0"/>
    <n v="14.58"/>
    <n v="4.8"/>
    <n v="4683"/>
    <n v="15"/>
    <x v="50"/>
    <x v="9"/>
    <s v="978-6-26506-512-0"/>
    <n v="8494"/>
    <s v="View"/>
  </r>
  <r>
    <n v="457"/>
    <x v="456"/>
    <x v="165"/>
    <x v="1"/>
    <x v="2"/>
    <x v="0"/>
    <n v="10.29"/>
    <n v="4.4000000000000004"/>
    <n v="1881"/>
    <n v="15"/>
    <x v="31"/>
    <x v="0"/>
    <s v="978-4-92344-418-0"/>
    <n v="8859"/>
    <s v="View"/>
  </r>
  <r>
    <n v="458"/>
    <x v="457"/>
    <x v="57"/>
    <x v="1"/>
    <x v="5"/>
    <x v="1"/>
    <n v="17.71"/>
    <n v="4.0999999999999996"/>
    <n v="1047"/>
    <n v="5"/>
    <x v="18"/>
    <x v="2"/>
    <s v="978-3-81659-366-9"/>
    <n v="8110"/>
    <s v="View"/>
  </r>
  <r>
    <n v="459"/>
    <x v="458"/>
    <x v="109"/>
    <x v="0"/>
    <x v="45"/>
    <x v="0"/>
    <n v="15"/>
    <n v="4.7"/>
    <n v="2304"/>
    <n v="7"/>
    <x v="13"/>
    <x v="2"/>
    <s v="978-7-64643-933-6"/>
    <n v="3345"/>
    <s v="View"/>
  </r>
  <r>
    <n v="460"/>
    <x v="459"/>
    <x v="20"/>
    <x v="1"/>
    <x v="9"/>
    <x v="4"/>
    <n v="10.49"/>
    <n v="4.3"/>
    <n v="4172"/>
    <n v="4"/>
    <x v="43"/>
    <x v="13"/>
    <s v="978-8-61199-625-1"/>
    <n v="3778"/>
    <s v="View"/>
  </r>
  <r>
    <n v="461"/>
    <x v="460"/>
    <x v="36"/>
    <x v="0"/>
    <x v="36"/>
    <x v="1"/>
    <n v="29.05"/>
    <n v="4.4000000000000004"/>
    <n v="1110"/>
    <n v="12"/>
    <x v="53"/>
    <x v="13"/>
    <s v="978-5-86610-732-6"/>
    <n v="2029"/>
    <s v="View"/>
  </r>
  <r>
    <n v="462"/>
    <x v="461"/>
    <x v="93"/>
    <x v="0"/>
    <x v="13"/>
    <x v="2"/>
    <n v="16.23"/>
    <n v="4.0999999999999996"/>
    <n v="2101"/>
    <n v="2"/>
    <x v="41"/>
    <x v="18"/>
    <s v="978-1-67872-881-5"/>
    <n v="1406"/>
    <s v="View"/>
  </r>
  <r>
    <n v="463"/>
    <x v="462"/>
    <x v="166"/>
    <x v="0"/>
    <x v="46"/>
    <x v="3"/>
    <n v="5.72"/>
    <n v="4.0999999999999996"/>
    <n v="838"/>
    <n v="4"/>
    <x v="32"/>
    <x v="18"/>
    <s v="978-0-57128-892-6"/>
    <n v="2105"/>
    <s v="View"/>
  </r>
  <r>
    <n v="464"/>
    <x v="463"/>
    <x v="53"/>
    <x v="0"/>
    <x v="27"/>
    <x v="1"/>
    <n v="28.35"/>
    <n v="4.2"/>
    <n v="4712"/>
    <n v="2"/>
    <x v="44"/>
    <x v="12"/>
    <s v="978-4-23226-220-7"/>
    <n v="4705"/>
    <s v="View"/>
  </r>
  <r>
    <n v="465"/>
    <x v="464"/>
    <x v="74"/>
    <x v="0"/>
    <x v="20"/>
    <x v="0"/>
    <n v="13.65"/>
    <n v="4.2"/>
    <n v="514"/>
    <n v="9"/>
    <x v="5"/>
    <x v="0"/>
    <s v="978-9-71732-369-0"/>
    <n v="1458"/>
    <s v="View"/>
  </r>
  <r>
    <n v="466"/>
    <x v="465"/>
    <x v="136"/>
    <x v="0"/>
    <x v="11"/>
    <x v="3"/>
    <n v="10.88"/>
    <n v="4.3"/>
    <n v="339"/>
    <n v="6"/>
    <x v="30"/>
    <x v="8"/>
    <s v="978-9-90272-182-8"/>
    <n v="8776"/>
    <s v="View"/>
  </r>
  <r>
    <n v="467"/>
    <x v="466"/>
    <x v="23"/>
    <x v="1"/>
    <x v="5"/>
    <x v="0"/>
    <n v="16.03"/>
    <n v="4.5"/>
    <n v="3157"/>
    <n v="11"/>
    <x v="7"/>
    <x v="0"/>
    <s v="978-8-73199-153-6"/>
    <n v="7114"/>
    <s v="View"/>
  </r>
  <r>
    <n v="468"/>
    <x v="467"/>
    <x v="67"/>
    <x v="1"/>
    <x v="2"/>
    <x v="0"/>
    <n v="14.29"/>
    <n v="4.7"/>
    <n v="1910"/>
    <n v="7"/>
    <x v="48"/>
    <x v="1"/>
    <s v="978-9-16000-921-0"/>
    <n v="5030"/>
    <s v="View"/>
  </r>
  <r>
    <n v="469"/>
    <x v="468"/>
    <x v="117"/>
    <x v="0"/>
    <x v="36"/>
    <x v="1"/>
    <n v="18.579999999999998"/>
    <n v="4.5999999999999996"/>
    <n v="4503"/>
    <n v="4"/>
    <x v="41"/>
    <x v="11"/>
    <s v="978-5-38873-554-4"/>
    <n v="6949"/>
    <s v="View"/>
  </r>
  <r>
    <n v="470"/>
    <x v="469"/>
    <x v="35"/>
    <x v="1"/>
    <x v="9"/>
    <x v="0"/>
    <n v="10.220000000000001"/>
    <n v="4.5"/>
    <n v="4317"/>
    <n v="4"/>
    <x v="47"/>
    <x v="9"/>
    <s v="978-3-26088-481-2"/>
    <n v="1527"/>
    <s v="View"/>
  </r>
  <r>
    <n v="471"/>
    <x v="470"/>
    <x v="46"/>
    <x v="1"/>
    <x v="9"/>
    <x v="0"/>
    <n v="9.16"/>
    <n v="4.2"/>
    <n v="1888"/>
    <n v="4"/>
    <x v="39"/>
    <x v="2"/>
    <s v="978-6-79794-153-4"/>
    <n v="1454"/>
    <s v="View"/>
  </r>
  <r>
    <n v="472"/>
    <x v="471"/>
    <x v="37"/>
    <x v="0"/>
    <x v="13"/>
    <x v="2"/>
    <n v="33.75"/>
    <n v="4.5999999999999996"/>
    <n v="3847"/>
    <n v="7"/>
    <x v="46"/>
    <x v="5"/>
    <s v="978-8-44091-266-6"/>
    <n v="8600"/>
    <s v="View"/>
  </r>
  <r>
    <n v="473"/>
    <x v="472"/>
    <x v="127"/>
    <x v="0"/>
    <x v="38"/>
    <x v="0"/>
    <n v="14.92"/>
    <n v="4.5"/>
    <n v="151"/>
    <n v="2"/>
    <x v="39"/>
    <x v="13"/>
    <s v="978-5-44670-967-2"/>
    <n v="8217"/>
    <s v="View"/>
  </r>
  <r>
    <n v="474"/>
    <x v="473"/>
    <x v="98"/>
    <x v="0"/>
    <x v="38"/>
    <x v="0"/>
    <n v="9.57"/>
    <n v="4"/>
    <n v="1522"/>
    <n v="5"/>
    <x v="4"/>
    <x v="1"/>
    <s v="978-4-74871-230-3"/>
    <n v="3806"/>
    <s v="View"/>
  </r>
  <r>
    <n v="475"/>
    <x v="474"/>
    <x v="23"/>
    <x v="1"/>
    <x v="33"/>
    <x v="4"/>
    <n v="14.93"/>
    <n v="4.4000000000000004"/>
    <n v="2944"/>
    <n v="9"/>
    <x v="37"/>
    <x v="0"/>
    <s v="978-3-55839-211-1"/>
    <n v="9255"/>
    <s v="View"/>
  </r>
  <r>
    <n v="476"/>
    <x v="475"/>
    <x v="94"/>
    <x v="0"/>
    <x v="0"/>
    <x v="3"/>
    <n v="7"/>
    <n v="4.4000000000000004"/>
    <n v="3393"/>
    <n v="15"/>
    <x v="33"/>
    <x v="0"/>
    <s v="978-4-91515-131-2"/>
    <n v="6986"/>
    <s v="View"/>
  </r>
  <r>
    <n v="477"/>
    <x v="476"/>
    <x v="119"/>
    <x v="1"/>
    <x v="32"/>
    <x v="3"/>
    <n v="9.83"/>
    <n v="5"/>
    <n v="1889"/>
    <n v="10"/>
    <x v="46"/>
    <x v="11"/>
    <s v="978-8-64798-651-1"/>
    <n v="9600"/>
    <s v="View"/>
  </r>
  <r>
    <n v="478"/>
    <x v="477"/>
    <x v="60"/>
    <x v="0"/>
    <x v="6"/>
    <x v="1"/>
    <n v="26.72"/>
    <n v="4.2"/>
    <n v="995"/>
    <n v="12"/>
    <x v="49"/>
    <x v="3"/>
    <s v="978-6-57432-181-5"/>
    <n v="9240"/>
    <s v="View"/>
  </r>
  <r>
    <n v="479"/>
    <x v="478"/>
    <x v="128"/>
    <x v="0"/>
    <x v="36"/>
    <x v="3"/>
    <n v="7.06"/>
    <n v="4.5999999999999996"/>
    <n v="4187"/>
    <n v="3"/>
    <x v="55"/>
    <x v="5"/>
    <s v="978-3-33581-997-7"/>
    <n v="1212"/>
    <s v="View"/>
  </r>
  <r>
    <n v="480"/>
    <x v="479"/>
    <x v="166"/>
    <x v="0"/>
    <x v="37"/>
    <x v="2"/>
    <n v="33.08"/>
    <n v="4.5999999999999996"/>
    <n v="2952"/>
    <n v="3"/>
    <x v="47"/>
    <x v="2"/>
    <s v="978-3-48455-221-5"/>
    <n v="6475"/>
    <s v="View"/>
  </r>
  <r>
    <n v="481"/>
    <x v="480"/>
    <x v="11"/>
    <x v="1"/>
    <x v="35"/>
    <x v="3"/>
    <n v="12.24"/>
    <n v="4.5"/>
    <n v="113"/>
    <n v="10"/>
    <x v="42"/>
    <x v="5"/>
    <s v="978-7-59725-428-7"/>
    <n v="3857"/>
    <s v="View"/>
  </r>
  <r>
    <n v="482"/>
    <x v="481"/>
    <x v="148"/>
    <x v="1"/>
    <x v="28"/>
    <x v="0"/>
    <n v="15.81"/>
    <n v="4.4000000000000004"/>
    <n v="1223"/>
    <n v="1"/>
    <x v="41"/>
    <x v="1"/>
    <s v="978-3-66431-631-4"/>
    <n v="6114"/>
    <s v="View"/>
  </r>
  <r>
    <n v="483"/>
    <x v="482"/>
    <x v="167"/>
    <x v="1"/>
    <x v="33"/>
    <x v="0"/>
    <n v="9.85"/>
    <n v="4.0999999999999996"/>
    <n v="1433"/>
    <n v="1"/>
    <x v="51"/>
    <x v="5"/>
    <s v="978-8-80505-918-3"/>
    <n v="1075"/>
    <s v="View"/>
  </r>
  <r>
    <n v="484"/>
    <x v="483"/>
    <x v="86"/>
    <x v="0"/>
    <x v="27"/>
    <x v="1"/>
    <n v="18.12"/>
    <n v="4.3"/>
    <n v="1170"/>
    <n v="5"/>
    <x v="5"/>
    <x v="0"/>
    <s v="978-5-20363-862-3"/>
    <n v="2186"/>
    <s v="View"/>
  </r>
  <r>
    <n v="485"/>
    <x v="484"/>
    <x v="76"/>
    <x v="1"/>
    <x v="41"/>
    <x v="1"/>
    <n v="28.4"/>
    <n v="4.7"/>
    <n v="115"/>
    <n v="4"/>
    <x v="17"/>
    <x v="12"/>
    <s v="978-3-98257-300-4"/>
    <n v="8672"/>
    <s v="View"/>
  </r>
  <r>
    <n v="486"/>
    <x v="485"/>
    <x v="136"/>
    <x v="0"/>
    <x v="23"/>
    <x v="0"/>
    <n v="10.59"/>
    <n v="4.5"/>
    <n v="3475"/>
    <n v="12"/>
    <x v="17"/>
    <x v="9"/>
    <s v="978-9-40764-753-5"/>
    <n v="8905"/>
    <s v="View"/>
  </r>
  <r>
    <n v="487"/>
    <x v="486"/>
    <x v="143"/>
    <x v="1"/>
    <x v="33"/>
    <x v="4"/>
    <n v="14.27"/>
    <n v="4.4000000000000004"/>
    <n v="3713"/>
    <n v="6"/>
    <x v="28"/>
    <x v="3"/>
    <s v="978-1-33094-575-5"/>
    <n v="2834"/>
    <s v="View"/>
  </r>
  <r>
    <n v="488"/>
    <x v="487"/>
    <x v="76"/>
    <x v="1"/>
    <x v="2"/>
    <x v="3"/>
    <n v="6.34"/>
    <n v="4.0999999999999996"/>
    <n v="2651"/>
    <n v="7"/>
    <x v="29"/>
    <x v="2"/>
    <s v="978-6-62255-366-0"/>
    <n v="5372"/>
    <s v="View"/>
  </r>
  <r>
    <n v="489"/>
    <x v="488"/>
    <x v="102"/>
    <x v="1"/>
    <x v="39"/>
    <x v="1"/>
    <n v="29.34"/>
    <n v="4.5999999999999996"/>
    <n v="2780"/>
    <n v="15"/>
    <x v="52"/>
    <x v="13"/>
    <s v="978-8-18318-770-0"/>
    <n v="9475"/>
    <s v="View"/>
  </r>
  <r>
    <n v="490"/>
    <x v="489"/>
    <x v="132"/>
    <x v="0"/>
    <x v="23"/>
    <x v="2"/>
    <n v="15.71"/>
    <n v="4.4000000000000004"/>
    <n v="214"/>
    <n v="13"/>
    <x v="13"/>
    <x v="8"/>
    <s v="978-8-62158-910-7"/>
    <n v="1672"/>
    <s v="View"/>
  </r>
  <r>
    <n v="491"/>
    <x v="490"/>
    <x v="34"/>
    <x v="1"/>
    <x v="34"/>
    <x v="1"/>
    <n v="26.14"/>
    <n v="4.4000000000000004"/>
    <n v="4487"/>
    <n v="10"/>
    <x v="13"/>
    <x v="8"/>
    <s v="978-9-61265-298-9"/>
    <n v="6096"/>
    <s v="View"/>
  </r>
  <r>
    <n v="492"/>
    <x v="491"/>
    <x v="41"/>
    <x v="0"/>
    <x v="46"/>
    <x v="0"/>
    <n v="12.65"/>
    <n v="4.3"/>
    <n v="2331"/>
    <n v="8"/>
    <x v="34"/>
    <x v="9"/>
    <s v="978-8-76400-350-6"/>
    <n v="1266"/>
    <s v="View"/>
  </r>
  <r>
    <n v="493"/>
    <x v="492"/>
    <x v="108"/>
    <x v="0"/>
    <x v="11"/>
    <x v="1"/>
    <n v="21.31"/>
    <n v="4.5999999999999996"/>
    <n v="831"/>
    <n v="9"/>
    <x v="35"/>
    <x v="14"/>
    <s v="978-9-42763-185-2"/>
    <n v="7591"/>
    <s v="View"/>
  </r>
  <r>
    <n v="494"/>
    <x v="493"/>
    <x v="92"/>
    <x v="0"/>
    <x v="11"/>
    <x v="1"/>
    <n v="17.059999999999999"/>
    <n v="3.8"/>
    <n v="1763"/>
    <n v="13"/>
    <x v="35"/>
    <x v="5"/>
    <s v="978-8-75511-420-3"/>
    <n v="6260"/>
    <s v="View"/>
  </r>
  <r>
    <n v="495"/>
    <x v="494"/>
    <x v="150"/>
    <x v="1"/>
    <x v="12"/>
    <x v="0"/>
    <n v="16.82"/>
    <n v="4.8"/>
    <n v="4106"/>
    <n v="3"/>
    <x v="44"/>
    <x v="0"/>
    <s v="978-7-28332-866-8"/>
    <n v="7840"/>
    <s v="View"/>
  </r>
  <r>
    <n v="496"/>
    <x v="495"/>
    <x v="46"/>
    <x v="1"/>
    <x v="15"/>
    <x v="4"/>
    <n v="10.59"/>
    <n v="4.7"/>
    <n v="2108"/>
    <n v="8"/>
    <x v="6"/>
    <x v="11"/>
    <s v="978-2-31527-636-7"/>
    <n v="1152"/>
    <s v="View"/>
  </r>
  <r>
    <n v="497"/>
    <x v="496"/>
    <x v="23"/>
    <x v="1"/>
    <x v="3"/>
    <x v="1"/>
    <n v="24.72"/>
    <n v="4.7"/>
    <n v="1901"/>
    <n v="6"/>
    <x v="24"/>
    <x v="0"/>
    <s v="978-4-47249-940-6"/>
    <n v="6003"/>
    <s v="View"/>
  </r>
  <r>
    <n v="498"/>
    <x v="497"/>
    <x v="108"/>
    <x v="0"/>
    <x v="11"/>
    <x v="0"/>
    <n v="13.69"/>
    <n v="4.5"/>
    <n v="3187"/>
    <n v="6"/>
    <x v="53"/>
    <x v="5"/>
    <s v="978-9-46338-926-9"/>
    <n v="8752"/>
    <s v="View"/>
  </r>
  <r>
    <n v="499"/>
    <x v="498"/>
    <x v="142"/>
    <x v="1"/>
    <x v="39"/>
    <x v="3"/>
    <n v="7.82"/>
    <n v="4.2"/>
    <n v="1010"/>
    <n v="4"/>
    <x v="17"/>
    <x v="5"/>
    <s v="978-6-72190-463-4"/>
    <n v="9550"/>
    <s v="View"/>
  </r>
  <r>
    <n v="500"/>
    <x v="499"/>
    <x v="86"/>
    <x v="0"/>
    <x v="23"/>
    <x v="1"/>
    <n v="19.3"/>
    <n v="4.4000000000000004"/>
    <n v="3045"/>
    <n v="14"/>
    <x v="39"/>
    <x v="11"/>
    <s v="978-5-65584-318-9"/>
    <n v="4129"/>
    <s v="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30FC9-87CA-4CBC-BE26-47A4A6AC8E0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15">
    <pivotField showAll="0"/>
    <pivotField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rice (USD)" fld="6" subtotal="average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A62E0-853A-4188-99AE-2F05B6D9BE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5">
    <pivotField showAll="0"/>
    <pivotField dataField="1" showAll="0"/>
    <pivotField axis="axisRow"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30"/>
    </i>
    <i>
      <x v="33"/>
    </i>
    <i>
      <x v="94"/>
    </i>
    <i>
      <x v="147"/>
    </i>
    <i>
      <x v="149"/>
    </i>
    <i>
      <x v="164"/>
    </i>
    <i t="grand">
      <x/>
    </i>
  </rowItems>
  <colItems count="1">
    <i/>
  </colItems>
  <dataFields count="1">
    <dataField name="Count of Titl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159E0-C0FC-4CAC-8027-F880B77139F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K17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91"/>
    </i>
    <i>
      <x v="94"/>
    </i>
    <i>
      <x v="211"/>
    </i>
    <i>
      <x v="226"/>
    </i>
    <i>
      <x v="357"/>
    </i>
    <i t="grand">
      <x/>
    </i>
  </rowItems>
  <colItems count="1">
    <i/>
  </colItems>
  <dataFields count="1">
    <dataField name="Sum of Weeks on List" fld="9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24CBE-5E51-4125-8604-24A54EE1AA7E}" name="PivotTable17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outline="1" outlineData="1" compactData="0" multipleFieldFilters="0" chartFormat="8">
  <location ref="M3:P10" firstHeaderRow="1" firstDataRow="2" firstDataCol="1"/>
  <pivotFields count="15">
    <pivotField compact="0" showAll="0" defaultSubtotal="0"/>
    <pivotField dataField="1" compact="0" showAll="0" defaultSubtotal="0"/>
    <pivotField compact="0" showAll="0" measureFilter="1" defaultSubtotal="0">
      <items count="168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</items>
    </pivotField>
    <pivotField axis="axisCol" compact="0" showAll="0" defaultSubtotal="0">
      <items count="2">
        <item x="1"/>
        <item x="0"/>
      </items>
    </pivotField>
    <pivotField axis="axisRow" compact="0" showAll="0" measureFilter="1" defaultSubtotal="0">
      <items count="48">
        <item x="10"/>
        <item x="16"/>
        <item x="38"/>
        <item x="24"/>
        <item x="44"/>
        <item x="19"/>
        <item x="18"/>
        <item x="8"/>
        <item x="9"/>
        <item x="15"/>
        <item x="17"/>
        <item x="29"/>
        <item x="43"/>
        <item x="23"/>
        <item x="35"/>
        <item x="32"/>
        <item x="34"/>
        <item x="11"/>
        <item x="31"/>
        <item x="20"/>
        <item x="14"/>
        <item x="47"/>
        <item x="21"/>
        <item x="41"/>
        <item x="3"/>
        <item x="13"/>
        <item x="28"/>
        <item x="42"/>
        <item x="45"/>
        <item x="25"/>
        <item x="37"/>
        <item x="36"/>
        <item x="1"/>
        <item x="6"/>
        <item x="7"/>
        <item x="5"/>
        <item x="27"/>
        <item x="2"/>
        <item x="0"/>
        <item x="26"/>
        <item x="4"/>
        <item x="33"/>
        <item x="30"/>
        <item x="46"/>
        <item x="22"/>
        <item x="40"/>
        <item x="12"/>
        <item x="39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4"/>
  </rowFields>
  <rowItems count="6">
    <i>
      <x v="20"/>
    </i>
    <i>
      <x v="26"/>
    </i>
    <i>
      <x v="35"/>
    </i>
    <i>
      <x v="37"/>
    </i>
    <i>
      <x v="3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Title" fld="1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5" filterVal="5"/>
        </filterColumn>
      </autoFilter>
    </filter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9B1C9-48CB-4AA8-8A59-9A8F4BD4BEFF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M27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211"/>
    </i>
    <i t="grand">
      <x/>
    </i>
  </rowItems>
  <colItems count="1">
    <i/>
  </colItems>
  <dataFields count="1">
    <dataField name="Sum of Weeks on List" fld="9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3AFAA-4D90-4AFD-888C-42E40D397E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itle" fld="1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A1899-8A02-4679-902D-0321953BE4F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9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202"/>
    </i>
    <i>
      <x v="220"/>
    </i>
    <i>
      <x v="250"/>
    </i>
    <i>
      <x v="362"/>
    </i>
    <i>
      <x v="410"/>
    </i>
    <i>
      <x v="471"/>
    </i>
    <i>
      <x v="486"/>
    </i>
    <i t="grand">
      <x/>
    </i>
  </rowItems>
  <colItems count="1">
    <i/>
  </colItems>
  <dataFields count="1">
    <dataField name="Sum of Rating" fld="7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0825C-E3C9-4B92-A3C2-C5DA6475699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1:J22" firstHeaderRow="1" firstDataRow="1" firstDataCol="0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Title" fld="1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CC5E1-5A54-423C-B264-E77B10C3433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0:M22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67"/>
    </i>
    <i t="grand">
      <x/>
    </i>
  </rowItems>
  <colItems count="1">
    <i/>
  </colItems>
  <dataFields count="1">
    <dataField name="Sum of Reviews" fld="8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D7009-BAA8-4EF5-BC6A-9D291FAB571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1:H18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67"/>
    </i>
    <i>
      <x v="222"/>
    </i>
    <i>
      <x v="226"/>
    </i>
    <i>
      <x v="423"/>
    </i>
    <i>
      <x v="467"/>
    </i>
    <i>
      <x v="470"/>
    </i>
    <i t="grand">
      <x/>
    </i>
  </rowItems>
  <colItems count="1">
    <i/>
  </colItems>
  <dataFields count="1">
    <dataField name="Sum of Review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B9885-E3A9-4F6F-83FC-C238062CABE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1:H27" firstHeaderRow="1" firstDataRow="1" firstDataCol="1"/>
  <pivotFields count="15">
    <pivotField showAll="0"/>
    <pivotField axis="axisRow" showAll="0" measureFilter="1" sortType="descending">
      <items count="501">
        <item x="29"/>
        <item x="384"/>
        <item x="416"/>
        <item x="328"/>
        <item x="131"/>
        <item x="395"/>
        <item x="364"/>
        <item x="214"/>
        <item x="397"/>
        <item x="129"/>
        <item x="256"/>
        <item x="18"/>
        <item x="477"/>
        <item x="403"/>
        <item x="166"/>
        <item x="188"/>
        <item x="348"/>
        <item x="60"/>
        <item x="425"/>
        <item x="315"/>
        <item x="231"/>
        <item x="239"/>
        <item x="306"/>
        <item x="169"/>
        <item x="359"/>
        <item x="317"/>
        <item x="264"/>
        <item x="399"/>
        <item x="207"/>
        <item x="28"/>
        <item x="305"/>
        <item x="56"/>
        <item x="27"/>
        <item x="138"/>
        <item x="386"/>
        <item x="279"/>
        <item x="181"/>
        <item x="31"/>
        <item x="300"/>
        <item x="93"/>
        <item x="67"/>
        <item x="38"/>
        <item x="389"/>
        <item x="36"/>
        <item x="200"/>
        <item x="257"/>
        <item x="420"/>
        <item x="342"/>
        <item x="370"/>
        <item x="368"/>
        <item x="320"/>
        <item x="40"/>
        <item x="350"/>
        <item x="280"/>
        <item x="65"/>
        <item x="82"/>
        <item x="150"/>
        <item x="290"/>
        <item x="482"/>
        <item x="68"/>
        <item x="154"/>
        <item x="251"/>
        <item x="46"/>
        <item x="116"/>
        <item x="88"/>
        <item x="173"/>
        <item x="237"/>
        <item x="191"/>
        <item x="224"/>
        <item x="378"/>
        <item x="281"/>
        <item x="81"/>
        <item x="485"/>
        <item x="149"/>
        <item x="87"/>
        <item x="218"/>
        <item x="33"/>
        <item x="197"/>
        <item x="439"/>
        <item x="492"/>
        <item x="385"/>
        <item x="102"/>
        <item x="262"/>
        <item x="172"/>
        <item x="351"/>
        <item x="429"/>
        <item x="79"/>
        <item x="44"/>
        <item x="449"/>
        <item x="289"/>
        <item x="459"/>
        <item x="332"/>
        <item x="470"/>
        <item x="76"/>
        <item x="168"/>
        <item x="423"/>
        <item x="276"/>
        <item x="454"/>
        <item x="61"/>
        <item x="496"/>
        <item x="318"/>
        <item x="107"/>
        <item x="91"/>
        <item x="493"/>
        <item x="157"/>
        <item x="365"/>
        <item x="343"/>
        <item x="309"/>
        <item x="77"/>
        <item x="127"/>
        <item x="69"/>
        <item x="99"/>
        <item x="30"/>
        <item x="446"/>
        <item x="354"/>
        <item x="122"/>
        <item x="349"/>
        <item x="238"/>
        <item x="440"/>
        <item x="84"/>
        <item x="258"/>
        <item x="190"/>
        <item x="487"/>
        <item x="112"/>
        <item x="480"/>
        <item x="70"/>
        <item x="0"/>
        <item x="199"/>
        <item x="391"/>
        <item x="72"/>
        <item x="453"/>
        <item x="58"/>
        <item x="179"/>
        <item x="242"/>
        <item x="341"/>
        <item x="417"/>
        <item x="98"/>
        <item x="261"/>
        <item x="161"/>
        <item x="499"/>
        <item x="363"/>
        <item x="73"/>
        <item x="15"/>
        <item x="20"/>
        <item x="474"/>
        <item x="324"/>
        <item x="294"/>
        <item x="89"/>
        <item x="249"/>
        <item x="333"/>
        <item x="109"/>
        <item x="325"/>
        <item x="497"/>
        <item x="394"/>
        <item x="64"/>
        <item x="141"/>
        <item x="464"/>
        <item x="472"/>
        <item x="366"/>
        <item x="313"/>
        <item x="202"/>
        <item x="51"/>
        <item x="369"/>
        <item x="75"/>
        <item x="137"/>
        <item x="216"/>
        <item x="405"/>
        <item x="398"/>
        <item x="203"/>
        <item x="311"/>
        <item x="185"/>
        <item x="373"/>
        <item x="128"/>
        <item x="456"/>
        <item x="441"/>
        <item x="432"/>
        <item x="486"/>
        <item x="1"/>
        <item x="388"/>
        <item x="151"/>
        <item x="383"/>
        <item x="422"/>
        <item x="298"/>
        <item x="321"/>
        <item x="125"/>
        <item x="462"/>
        <item x="90"/>
        <item x="178"/>
        <item x="275"/>
        <item x="360"/>
        <item x="248"/>
        <item x="42"/>
        <item x="326"/>
        <item x="323"/>
        <item x="3"/>
        <item x="479"/>
        <item x="132"/>
        <item x="201"/>
        <item x="230"/>
        <item x="204"/>
        <item x="130"/>
        <item x="211"/>
        <item x="59"/>
        <item x="225"/>
        <item x="401"/>
        <item x="372"/>
        <item x="85"/>
        <item x="415"/>
        <item x="8"/>
        <item x="295"/>
        <item x="494"/>
        <item x="187"/>
        <item x="267"/>
        <item x="167"/>
        <item x="9"/>
        <item x="408"/>
        <item x="145"/>
        <item x="259"/>
        <item x="13"/>
        <item x="443"/>
        <item x="209"/>
        <item x="414"/>
        <item x="174"/>
        <item x="156"/>
        <item x="495"/>
        <item x="484"/>
        <item x="334"/>
        <item x="278"/>
        <item x="467"/>
        <item x="382"/>
        <item x="265"/>
        <item x="393"/>
        <item x="205"/>
        <item x="461"/>
        <item x="24"/>
        <item x="189"/>
        <item x="253"/>
        <item x="312"/>
        <item x="101"/>
        <item x="183"/>
        <item x="402"/>
        <item x="97"/>
        <item x="437"/>
        <item x="409"/>
        <item x="404"/>
        <item x="307"/>
        <item x="158"/>
        <item x="160"/>
        <item x="288"/>
        <item x="476"/>
        <item x="435"/>
        <item x="83"/>
        <item x="475"/>
        <item x="124"/>
        <item x="352"/>
        <item x="283"/>
        <item x="215"/>
        <item x="379"/>
        <item x="358"/>
        <item x="291"/>
        <item x="287"/>
        <item x="302"/>
        <item x="164"/>
        <item x="159"/>
        <item x="284"/>
        <item x="244"/>
        <item x="43"/>
        <item x="450"/>
        <item x="213"/>
        <item x="139"/>
        <item x="463"/>
        <item x="285"/>
        <item x="488"/>
        <item x="45"/>
        <item x="392"/>
        <item x="71"/>
        <item x="296"/>
        <item x="2"/>
        <item x="247"/>
        <item x="119"/>
        <item x="175"/>
        <item x="465"/>
        <item x="447"/>
        <item x="186"/>
        <item x="39"/>
        <item x="460"/>
        <item x="126"/>
        <item x="436"/>
        <item x="11"/>
        <item x="55"/>
        <item x="96"/>
        <item x="171"/>
        <item x="115"/>
        <item x="498"/>
        <item x="25"/>
        <item x="380"/>
        <item x="455"/>
        <item x="330"/>
        <item x="407"/>
        <item x="142"/>
        <item x="16"/>
        <item x="143"/>
        <item x="228"/>
        <item x="229"/>
        <item x="254"/>
        <item x="356"/>
        <item x="155"/>
        <item x="35"/>
        <item x="170"/>
        <item x="424"/>
        <item x="431"/>
        <item x="336"/>
        <item x="489"/>
        <item x="442"/>
        <item x="180"/>
        <item x="32"/>
        <item x="113"/>
        <item x="347"/>
        <item x="52"/>
        <item x="387"/>
        <item x="135"/>
        <item x="331"/>
        <item x="94"/>
        <item x="400"/>
        <item x="371"/>
        <item x="418"/>
        <item x="152"/>
        <item x="195"/>
        <item x="274"/>
        <item x="206"/>
        <item x="41"/>
        <item x="12"/>
        <item x="26"/>
        <item x="428"/>
        <item x="146"/>
        <item x="223"/>
        <item x="22"/>
        <item x="361"/>
        <item x="270"/>
        <item x="92"/>
        <item x="147"/>
        <item x="426"/>
        <item x="50"/>
        <item x="182"/>
        <item x="297"/>
        <item x="376"/>
        <item x="444"/>
        <item x="362"/>
        <item x="74"/>
        <item x="19"/>
        <item x="118"/>
        <item x="410"/>
        <item x="327"/>
        <item x="233"/>
        <item x="6"/>
        <item x="292"/>
        <item x="194"/>
        <item x="106"/>
        <item x="133"/>
        <item x="451"/>
        <item x="208"/>
        <item x="219"/>
        <item x="260"/>
        <item x="136"/>
        <item x="246"/>
        <item x="322"/>
        <item x="63"/>
        <item x="269"/>
        <item x="37"/>
        <item x="412"/>
        <item x="53"/>
        <item x="286"/>
        <item x="469"/>
        <item x="236"/>
        <item x="210"/>
        <item x="374"/>
        <item x="78"/>
        <item x="255"/>
        <item x="241"/>
        <item x="282"/>
        <item x="7"/>
        <item x="192"/>
        <item x="240"/>
        <item x="438"/>
        <item x="266"/>
        <item x="345"/>
        <item x="234"/>
        <item x="299"/>
        <item x="176"/>
        <item x="419"/>
        <item x="381"/>
        <item x="337"/>
        <item x="448"/>
        <item x="220"/>
        <item x="111"/>
        <item x="162"/>
        <item x="367"/>
        <item x="478"/>
        <item x="304"/>
        <item x="471"/>
        <item x="413"/>
        <item x="335"/>
        <item x="390"/>
        <item x="226"/>
        <item x="221"/>
        <item x="49"/>
        <item x="411"/>
        <item x="227"/>
        <item x="48"/>
        <item x="144"/>
        <item x="346"/>
        <item x="10"/>
        <item x="491"/>
        <item x="134"/>
        <item x="103"/>
        <item x="375"/>
        <item x="329"/>
        <item x="458"/>
        <item x="445"/>
        <item x="163"/>
        <item x="165"/>
        <item x="21"/>
        <item x="100"/>
        <item x="272"/>
        <item x="66"/>
        <item x="148"/>
        <item x="108"/>
        <item x="355"/>
        <item x="314"/>
        <item x="250"/>
        <item x="34"/>
        <item x="14"/>
        <item x="222"/>
        <item x="232"/>
        <item x="303"/>
        <item x="344"/>
        <item x="301"/>
        <item x="252"/>
        <item x="153"/>
        <item x="293"/>
        <item x="457"/>
        <item x="427"/>
        <item x="452"/>
        <item x="95"/>
        <item x="177"/>
        <item x="421"/>
        <item x="340"/>
        <item x="57"/>
        <item x="490"/>
        <item x="47"/>
        <item x="483"/>
        <item x="196"/>
        <item x="212"/>
        <item x="110"/>
        <item x="481"/>
        <item x="120"/>
        <item x="80"/>
        <item x="316"/>
        <item x="245"/>
        <item x="271"/>
        <item x="319"/>
        <item x="339"/>
        <item x="184"/>
        <item x="473"/>
        <item x="235"/>
        <item x="105"/>
        <item x="406"/>
        <item x="308"/>
        <item x="277"/>
        <item x="86"/>
        <item x="338"/>
        <item x="310"/>
        <item x="140"/>
        <item x="114"/>
        <item x="468"/>
        <item x="104"/>
        <item x="123"/>
        <item x="4"/>
        <item x="17"/>
        <item x="217"/>
        <item x="263"/>
        <item x="353"/>
        <item x="273"/>
        <item x="243"/>
        <item x="434"/>
        <item x="121"/>
        <item x="466"/>
        <item x="117"/>
        <item x="54"/>
        <item x="198"/>
        <item x="62"/>
        <item x="377"/>
        <item x="430"/>
        <item x="396"/>
        <item x="193"/>
        <item x="268"/>
        <item x="357"/>
        <item x="5"/>
        <item x="23"/>
        <item x="433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 v="11"/>
    </i>
    <i>
      <x v="208"/>
    </i>
    <i>
      <x v="218"/>
    </i>
    <i>
      <x v="277"/>
    </i>
    <i>
      <x v="498"/>
    </i>
    <i t="grand">
      <x/>
    </i>
  </rowItems>
  <colItems count="1">
    <i/>
  </colItems>
  <dataFields count="1">
    <dataField name="Sum of Amazon BSR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ED94B-F242-4964-BC6B-E7654547A2E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4:J25" firstHeaderRow="1" firstDataRow="1" firstDataCol="0"/>
  <pivotFields count="15">
    <pivotField showAll="0"/>
    <pivotField showAll="0"/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Rating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8F341-C1BE-4538-B261-3C06C651959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0:P22" firstHeaderRow="1" firstDataRow="1" firstDataCol="1"/>
  <pivotFields count="15">
    <pivotField showAll="0"/>
    <pivotField axis="axisRow" showAll="0" measureFilter="1">
      <items count="501">
        <item x="433"/>
        <item x="23"/>
        <item x="5"/>
        <item x="357"/>
        <item x="268"/>
        <item x="193"/>
        <item x="396"/>
        <item x="430"/>
        <item x="377"/>
        <item x="62"/>
        <item x="198"/>
        <item x="54"/>
        <item x="117"/>
        <item x="466"/>
        <item x="121"/>
        <item x="434"/>
        <item x="243"/>
        <item x="273"/>
        <item x="353"/>
        <item x="263"/>
        <item x="217"/>
        <item x="17"/>
        <item x="4"/>
        <item x="123"/>
        <item x="104"/>
        <item x="468"/>
        <item x="114"/>
        <item x="140"/>
        <item x="310"/>
        <item x="338"/>
        <item x="86"/>
        <item x="277"/>
        <item x="308"/>
        <item x="406"/>
        <item x="105"/>
        <item x="235"/>
        <item x="473"/>
        <item x="184"/>
        <item x="339"/>
        <item x="319"/>
        <item x="271"/>
        <item x="245"/>
        <item x="316"/>
        <item x="80"/>
        <item x="120"/>
        <item x="481"/>
        <item x="110"/>
        <item x="212"/>
        <item x="196"/>
        <item x="483"/>
        <item x="47"/>
        <item x="490"/>
        <item x="57"/>
        <item x="340"/>
        <item x="421"/>
        <item x="177"/>
        <item x="95"/>
        <item x="452"/>
        <item x="427"/>
        <item x="457"/>
        <item x="293"/>
        <item x="153"/>
        <item x="252"/>
        <item x="301"/>
        <item x="344"/>
        <item x="303"/>
        <item x="232"/>
        <item x="222"/>
        <item x="14"/>
        <item x="34"/>
        <item x="250"/>
        <item x="314"/>
        <item x="355"/>
        <item x="108"/>
        <item x="148"/>
        <item x="66"/>
        <item x="272"/>
        <item x="100"/>
        <item x="21"/>
        <item x="165"/>
        <item x="163"/>
        <item x="445"/>
        <item x="458"/>
        <item x="329"/>
        <item x="375"/>
        <item x="103"/>
        <item x="134"/>
        <item x="491"/>
        <item x="10"/>
        <item x="346"/>
        <item x="144"/>
        <item x="48"/>
        <item x="227"/>
        <item x="411"/>
        <item x="49"/>
        <item x="221"/>
        <item x="226"/>
        <item x="390"/>
        <item x="335"/>
        <item x="413"/>
        <item x="471"/>
        <item x="304"/>
        <item x="478"/>
        <item x="367"/>
        <item x="162"/>
        <item x="111"/>
        <item x="220"/>
        <item x="448"/>
        <item x="337"/>
        <item x="381"/>
        <item x="419"/>
        <item x="176"/>
        <item x="299"/>
        <item x="234"/>
        <item x="345"/>
        <item x="266"/>
        <item x="438"/>
        <item x="240"/>
        <item x="192"/>
        <item x="7"/>
        <item x="282"/>
        <item x="241"/>
        <item x="255"/>
        <item x="78"/>
        <item x="374"/>
        <item x="210"/>
        <item x="236"/>
        <item x="469"/>
        <item x="286"/>
        <item x="53"/>
        <item x="412"/>
        <item x="37"/>
        <item x="269"/>
        <item x="63"/>
        <item x="322"/>
        <item x="246"/>
        <item x="136"/>
        <item x="260"/>
        <item x="219"/>
        <item x="208"/>
        <item x="451"/>
        <item x="133"/>
        <item x="106"/>
        <item x="194"/>
        <item x="292"/>
        <item x="6"/>
        <item x="233"/>
        <item x="327"/>
        <item x="410"/>
        <item x="118"/>
        <item x="19"/>
        <item x="74"/>
        <item x="362"/>
        <item x="444"/>
        <item x="376"/>
        <item x="297"/>
        <item x="182"/>
        <item x="50"/>
        <item x="426"/>
        <item x="147"/>
        <item x="92"/>
        <item x="270"/>
        <item x="361"/>
        <item x="22"/>
        <item x="223"/>
        <item x="146"/>
        <item x="428"/>
        <item x="26"/>
        <item x="12"/>
        <item x="41"/>
        <item x="206"/>
        <item x="274"/>
        <item x="195"/>
        <item x="152"/>
        <item x="418"/>
        <item x="371"/>
        <item x="400"/>
        <item x="94"/>
        <item x="331"/>
        <item x="135"/>
        <item x="387"/>
        <item x="52"/>
        <item x="347"/>
        <item x="113"/>
        <item x="32"/>
        <item x="180"/>
        <item x="442"/>
        <item x="489"/>
        <item x="336"/>
        <item x="431"/>
        <item x="424"/>
        <item x="170"/>
        <item x="35"/>
        <item x="155"/>
        <item x="356"/>
        <item x="254"/>
        <item x="229"/>
        <item x="228"/>
        <item x="143"/>
        <item x="16"/>
        <item x="142"/>
        <item x="407"/>
        <item x="330"/>
        <item x="455"/>
        <item x="380"/>
        <item x="25"/>
        <item x="498"/>
        <item x="115"/>
        <item x="171"/>
        <item x="96"/>
        <item x="55"/>
        <item x="11"/>
        <item x="436"/>
        <item x="126"/>
        <item x="460"/>
        <item x="39"/>
        <item x="186"/>
        <item x="447"/>
        <item x="465"/>
        <item x="175"/>
        <item x="119"/>
        <item x="247"/>
        <item x="2"/>
        <item x="296"/>
        <item x="71"/>
        <item x="392"/>
        <item x="45"/>
        <item x="488"/>
        <item x="285"/>
        <item x="463"/>
        <item x="139"/>
        <item x="213"/>
        <item x="450"/>
        <item x="43"/>
        <item x="244"/>
        <item x="284"/>
        <item x="159"/>
        <item x="164"/>
        <item x="302"/>
        <item x="287"/>
        <item x="291"/>
        <item x="358"/>
        <item x="379"/>
        <item x="215"/>
        <item x="283"/>
        <item x="352"/>
        <item x="124"/>
        <item x="475"/>
        <item x="83"/>
        <item x="435"/>
        <item x="476"/>
        <item x="288"/>
        <item x="160"/>
        <item x="158"/>
        <item x="307"/>
        <item x="404"/>
        <item x="409"/>
        <item x="437"/>
        <item x="97"/>
        <item x="402"/>
        <item x="183"/>
        <item x="101"/>
        <item x="312"/>
        <item x="253"/>
        <item x="189"/>
        <item x="24"/>
        <item x="461"/>
        <item x="205"/>
        <item x="393"/>
        <item x="265"/>
        <item x="382"/>
        <item x="467"/>
        <item x="278"/>
        <item x="334"/>
        <item x="484"/>
        <item x="495"/>
        <item x="156"/>
        <item x="174"/>
        <item x="414"/>
        <item x="209"/>
        <item x="443"/>
        <item x="13"/>
        <item x="259"/>
        <item x="145"/>
        <item x="408"/>
        <item x="9"/>
        <item x="167"/>
        <item x="267"/>
        <item x="187"/>
        <item x="494"/>
        <item x="295"/>
        <item x="8"/>
        <item x="415"/>
        <item x="85"/>
        <item x="372"/>
        <item x="401"/>
        <item x="225"/>
        <item x="59"/>
        <item x="211"/>
        <item x="130"/>
        <item x="204"/>
        <item x="230"/>
        <item x="201"/>
        <item x="132"/>
        <item x="479"/>
        <item x="3"/>
        <item x="323"/>
        <item x="326"/>
        <item x="42"/>
        <item x="248"/>
        <item x="360"/>
        <item x="275"/>
        <item x="178"/>
        <item x="90"/>
        <item x="462"/>
        <item x="125"/>
        <item x="321"/>
        <item x="298"/>
        <item x="422"/>
        <item x="383"/>
        <item x="151"/>
        <item x="388"/>
        <item x="1"/>
        <item x="486"/>
        <item x="432"/>
        <item x="441"/>
        <item x="456"/>
        <item x="128"/>
        <item x="373"/>
        <item x="185"/>
        <item x="311"/>
        <item x="203"/>
        <item x="398"/>
        <item x="405"/>
        <item x="216"/>
        <item x="137"/>
        <item x="75"/>
        <item x="369"/>
        <item x="51"/>
        <item x="202"/>
        <item x="313"/>
        <item x="366"/>
        <item x="472"/>
        <item x="464"/>
        <item x="141"/>
        <item x="64"/>
        <item x="394"/>
        <item x="497"/>
        <item x="325"/>
        <item x="109"/>
        <item x="333"/>
        <item x="249"/>
        <item x="89"/>
        <item x="294"/>
        <item x="324"/>
        <item x="474"/>
        <item x="20"/>
        <item x="15"/>
        <item x="73"/>
        <item x="363"/>
        <item x="499"/>
        <item x="161"/>
        <item x="261"/>
        <item x="98"/>
        <item x="417"/>
        <item x="341"/>
        <item x="242"/>
        <item x="179"/>
        <item x="58"/>
        <item x="453"/>
        <item x="72"/>
        <item x="391"/>
        <item x="199"/>
        <item x="0"/>
        <item x="70"/>
        <item x="480"/>
        <item x="112"/>
        <item x="487"/>
        <item x="190"/>
        <item x="258"/>
        <item x="84"/>
        <item x="440"/>
        <item x="238"/>
        <item x="349"/>
        <item x="122"/>
        <item x="354"/>
        <item x="446"/>
        <item x="30"/>
        <item x="99"/>
        <item x="69"/>
        <item x="127"/>
        <item x="77"/>
        <item x="309"/>
        <item x="343"/>
        <item x="365"/>
        <item x="157"/>
        <item x="493"/>
        <item x="91"/>
        <item x="107"/>
        <item x="318"/>
        <item x="496"/>
        <item x="61"/>
        <item x="454"/>
        <item x="276"/>
        <item x="423"/>
        <item x="168"/>
        <item x="76"/>
        <item x="470"/>
        <item x="332"/>
        <item x="459"/>
        <item x="289"/>
        <item x="449"/>
        <item x="44"/>
        <item x="79"/>
        <item x="429"/>
        <item x="351"/>
        <item x="172"/>
        <item x="262"/>
        <item x="102"/>
        <item x="385"/>
        <item x="492"/>
        <item x="439"/>
        <item x="197"/>
        <item x="33"/>
        <item x="218"/>
        <item x="87"/>
        <item x="149"/>
        <item x="485"/>
        <item x="81"/>
        <item x="281"/>
        <item x="378"/>
        <item x="224"/>
        <item x="191"/>
        <item x="237"/>
        <item x="173"/>
        <item x="88"/>
        <item x="116"/>
        <item x="46"/>
        <item x="251"/>
        <item x="154"/>
        <item x="68"/>
        <item x="482"/>
        <item x="290"/>
        <item x="150"/>
        <item x="82"/>
        <item x="65"/>
        <item x="280"/>
        <item x="350"/>
        <item x="40"/>
        <item x="320"/>
        <item x="368"/>
        <item x="370"/>
        <item x="342"/>
        <item x="420"/>
        <item x="257"/>
        <item x="200"/>
        <item x="36"/>
        <item x="389"/>
        <item x="38"/>
        <item x="67"/>
        <item x="93"/>
        <item x="300"/>
        <item x="31"/>
        <item x="181"/>
        <item x="279"/>
        <item x="386"/>
        <item x="138"/>
        <item x="27"/>
        <item x="56"/>
        <item x="305"/>
        <item x="28"/>
        <item x="207"/>
        <item x="399"/>
        <item x="264"/>
        <item x="317"/>
        <item x="359"/>
        <item x="169"/>
        <item x="306"/>
        <item x="239"/>
        <item x="231"/>
        <item x="315"/>
        <item x="425"/>
        <item x="60"/>
        <item x="348"/>
        <item x="188"/>
        <item x="166"/>
        <item x="403"/>
        <item x="477"/>
        <item x="18"/>
        <item x="256"/>
        <item x="129"/>
        <item x="397"/>
        <item x="214"/>
        <item x="364"/>
        <item x="395"/>
        <item x="131"/>
        <item x="328"/>
        <item x="416"/>
        <item x="384"/>
        <item x="29"/>
        <item t="default"/>
      </items>
    </pivotField>
    <pivotField showAll="0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Sum of Amazon BSR" fld="13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3D11F-6C50-43FD-BFC1-0E48EA0DCCF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2:E28" firstHeaderRow="1" firstDataRow="1" firstDataCol="1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2">
        <item x="16"/>
        <item x="17"/>
        <item x="7"/>
        <item x="15"/>
        <item x="10"/>
        <item x="20"/>
        <item x="18"/>
        <item x="19"/>
        <item x="6"/>
        <item x="4"/>
        <item x="12"/>
        <item x="14"/>
        <item x="3"/>
        <item x="9"/>
        <item x="13"/>
        <item x="2"/>
        <item x="11"/>
        <item x="5"/>
        <item x="0"/>
        <item x="1"/>
        <item x="8"/>
        <item t="default"/>
      </items>
    </pivotField>
    <pivotField showAll="0"/>
    <pivotField showAll="0"/>
    <pivotField showAll="0"/>
  </pivotFields>
  <rowFields count="1">
    <field x="11"/>
  </rowFields>
  <rowItems count="6">
    <i>
      <x v="14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itle"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5" filterVal="5"/>
        </filterColumn>
      </autoFilter>
    </filter>
    <filter fld="1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68A75-F834-49F3-8204-8B80C65C9C7A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H9" firstHeaderRow="1" firstDataRow="1" firstDataCol="1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>
      <items count="3">
        <item x="1"/>
        <item x="0"/>
        <item t="default"/>
      </items>
    </pivotField>
    <pivotField axis="axisRow" showAll="0" measureFilter="1">
      <items count="49">
        <item x="10"/>
        <item x="16"/>
        <item x="38"/>
        <item x="24"/>
        <item x="44"/>
        <item x="19"/>
        <item x="18"/>
        <item x="8"/>
        <item x="9"/>
        <item x="15"/>
        <item x="17"/>
        <item x="29"/>
        <item x="43"/>
        <item x="23"/>
        <item x="35"/>
        <item x="32"/>
        <item x="34"/>
        <item x="11"/>
        <item x="31"/>
        <item x="20"/>
        <item x="14"/>
        <item x="47"/>
        <item x="21"/>
        <item x="41"/>
        <item x="3"/>
        <item x="13"/>
        <item x="28"/>
        <item x="42"/>
        <item x="45"/>
        <item x="25"/>
        <item x="37"/>
        <item x="36"/>
        <item x="1"/>
        <item x="6"/>
        <item x="7"/>
        <item x="5"/>
        <item x="27"/>
        <item x="2"/>
        <item x="0"/>
        <item x="26"/>
        <item x="4"/>
        <item x="33"/>
        <item x="30"/>
        <item x="46"/>
        <item x="22"/>
        <item x="40"/>
        <item x="12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20"/>
    </i>
    <i>
      <x v="26"/>
    </i>
    <i>
      <x v="35"/>
    </i>
    <i>
      <x v="37"/>
    </i>
    <i>
      <x v="38"/>
    </i>
    <i t="grand">
      <x/>
    </i>
  </rowItems>
  <colItems count="1">
    <i/>
  </colItems>
  <dataFields count="1">
    <dataField name="Count of Title" fld="1" subtotal="count" baseField="0" baseItem="0"/>
  </dataField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5" filterVal="5"/>
        </filterColumn>
      </autoFilter>
    </filter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5CD75-3F77-4A3A-83A8-C640DFF192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K9" firstHeaderRow="1" firstDataRow="1" firstDataCol="1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tle"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B9BFB-29C9-49F5-B33B-C0AB1BA7716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2:B27" firstHeaderRow="1" firstDataRow="1" firstDataCol="1"/>
  <pivotFields count="15">
    <pivotField showAll="0"/>
    <pivotField dataField="1" showAll="0"/>
    <pivotField showAll="0" measureFilter="1">
      <items count="169">
        <item x="26"/>
        <item x="81"/>
        <item x="167"/>
        <item x="15"/>
        <item x="88"/>
        <item x="2"/>
        <item x="164"/>
        <item x="18"/>
        <item x="116"/>
        <item x="150"/>
        <item x="136"/>
        <item x="75"/>
        <item x="61"/>
        <item x="125"/>
        <item x="7"/>
        <item x="65"/>
        <item x="23"/>
        <item x="48"/>
        <item x="99"/>
        <item x="144"/>
        <item x="113"/>
        <item x="147"/>
        <item x="24"/>
        <item x="128"/>
        <item x="55"/>
        <item x="46"/>
        <item x="126"/>
        <item x="119"/>
        <item x="17"/>
        <item x="107"/>
        <item x="20"/>
        <item x="161"/>
        <item x="165"/>
        <item x="108"/>
        <item x="60"/>
        <item x="163"/>
        <item x="9"/>
        <item x="157"/>
        <item x="142"/>
        <item x="33"/>
        <item x="28"/>
        <item x="152"/>
        <item x="67"/>
        <item x="166"/>
        <item x="64"/>
        <item x="40"/>
        <item x="10"/>
        <item x="69"/>
        <item x="160"/>
        <item x="72"/>
        <item x="37"/>
        <item x="34"/>
        <item x="1"/>
        <item x="36"/>
        <item x="22"/>
        <item x="156"/>
        <item x="133"/>
        <item x="42"/>
        <item x="39"/>
        <item x="105"/>
        <item x="73"/>
        <item x="86"/>
        <item x="140"/>
        <item x="95"/>
        <item x="4"/>
        <item x="80"/>
        <item x="129"/>
        <item x="106"/>
        <item x="148"/>
        <item x="13"/>
        <item x="56"/>
        <item x="54"/>
        <item x="91"/>
        <item x="87"/>
        <item x="101"/>
        <item x="8"/>
        <item x="74"/>
        <item x="83"/>
        <item x="162"/>
        <item x="63"/>
        <item x="96"/>
        <item x="49"/>
        <item x="155"/>
        <item x="44"/>
        <item x="154"/>
        <item x="103"/>
        <item x="41"/>
        <item x="158"/>
        <item x="32"/>
        <item x="97"/>
        <item x="117"/>
        <item x="11"/>
        <item x="21"/>
        <item x="25"/>
        <item x="76"/>
        <item x="112"/>
        <item x="0"/>
        <item x="84"/>
        <item x="123"/>
        <item x="47"/>
        <item x="82"/>
        <item x="30"/>
        <item x="90"/>
        <item x="85"/>
        <item x="146"/>
        <item x="51"/>
        <item x="89"/>
        <item x="118"/>
        <item x="131"/>
        <item x="135"/>
        <item x="77"/>
        <item x="94"/>
        <item x="35"/>
        <item x="79"/>
        <item x="71"/>
        <item x="102"/>
        <item x="134"/>
        <item x="45"/>
        <item x="27"/>
        <item x="70"/>
        <item x="57"/>
        <item x="19"/>
        <item x="59"/>
        <item x="50"/>
        <item x="153"/>
        <item x="6"/>
        <item x="110"/>
        <item x="141"/>
        <item x="29"/>
        <item x="138"/>
        <item x="151"/>
        <item x="31"/>
        <item x="132"/>
        <item x="38"/>
        <item x="114"/>
        <item x="100"/>
        <item x="66"/>
        <item x="111"/>
        <item x="5"/>
        <item x="58"/>
        <item x="104"/>
        <item x="130"/>
        <item x="115"/>
        <item x="14"/>
        <item x="62"/>
        <item x="43"/>
        <item x="149"/>
        <item x="53"/>
        <item x="122"/>
        <item x="16"/>
        <item x="120"/>
        <item x="98"/>
        <item x="139"/>
        <item x="143"/>
        <item x="92"/>
        <item x="93"/>
        <item x="124"/>
        <item x="52"/>
        <item x="109"/>
        <item x="12"/>
        <item x="159"/>
        <item x="137"/>
        <item x="145"/>
        <item x="68"/>
        <item x="121"/>
        <item x="3"/>
        <item x="12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7">
        <item x="31"/>
        <item x="53"/>
        <item x="48"/>
        <item x="18"/>
        <item x="4"/>
        <item x="41"/>
        <item x="2"/>
        <item x="5"/>
        <item x="36"/>
        <item x="39"/>
        <item x="25"/>
        <item x="22"/>
        <item x="6"/>
        <item x="15"/>
        <item x="24"/>
        <item x="19"/>
        <item x="9"/>
        <item x="38"/>
        <item x="26"/>
        <item x="51"/>
        <item x="29"/>
        <item x="27"/>
        <item x="0"/>
        <item x="12"/>
        <item x="17"/>
        <item x="34"/>
        <item x="11"/>
        <item x="50"/>
        <item x="21"/>
        <item x="30"/>
        <item x="35"/>
        <item x="40"/>
        <item x="52"/>
        <item x="14"/>
        <item x="10"/>
        <item x="7"/>
        <item x="8"/>
        <item x="28"/>
        <item x="54"/>
        <item x="3"/>
        <item x="46"/>
        <item x="55"/>
        <item x="13"/>
        <item x="44"/>
        <item x="45"/>
        <item x="1"/>
        <item x="33"/>
        <item x="49"/>
        <item x="32"/>
        <item x="20"/>
        <item x="47"/>
        <item x="16"/>
        <item x="23"/>
        <item x="42"/>
        <item x="37"/>
        <item x="4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5">
    <i>
      <x v="7"/>
    </i>
    <i>
      <x v="9"/>
    </i>
    <i>
      <x v="42"/>
    </i>
    <i>
      <x v="48"/>
    </i>
    <i t="grand">
      <x/>
    </i>
  </rowItems>
  <colItems count="1">
    <i/>
  </colItems>
  <dataFields count="1">
    <dataField name="Count of Titl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0" type="count" evalOrder="-1" id="4" iMeasureFld="0">
      <autoFilter ref="A1">
        <filterColumn colId="0">
          <top10 val="4" filterVal="4"/>
        </filterColumn>
      </autoFilter>
    </filter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8C76E-D187-4880-B5DA-94D92FFFA4AD}" name="Table1" displayName="Table1" ref="A1:O501" totalsRowShown="0">
  <autoFilter ref="A1:O501" xr:uid="{38E8C76E-D187-4880-B5DA-94D92FFFA4AD}"/>
  <tableColumns count="15">
    <tableColumn id="1" xr3:uid="{120F95FC-0754-426F-91C0-1620EE04CCA6}" name="Rank"/>
    <tableColumn id="2" xr3:uid="{27A0A242-A09A-4C44-A0F1-57EC6243419D}" name="Title"/>
    <tableColumn id="3" xr3:uid="{4FBC98E2-FA3A-4C79-B51A-CC20EAA56B90}" name="Author"/>
    <tableColumn id="4" xr3:uid="{3C3CD77F-1A66-4BDF-B939-3D185DCBFD8D}" name="Category"/>
    <tableColumn id="5" xr3:uid="{BD4CE818-960F-47D9-BE36-74CCFE73FB98}" name="Sub-Genre"/>
    <tableColumn id="6" xr3:uid="{0DB29C21-AC8F-4292-90FE-07A9478BCBEB}" name="Format"/>
    <tableColumn id="7" xr3:uid="{115B7FF4-D4A0-4F6B-BA12-9DBBF76E17EF}" name="Price (USD)"/>
    <tableColumn id="8" xr3:uid="{6B428274-53B7-470F-B752-B6ABC038EF7F}" name="Rating"/>
    <tableColumn id="9" xr3:uid="{D56689BB-B1CA-4366-8B57-FC040A231436}" name="Reviews"/>
    <tableColumn id="10" xr3:uid="{336F9B68-FBD0-43AA-871C-EF819EBCA359}" name="Weeks on List"/>
    <tableColumn id="11" xr3:uid="{00FE0A62-928F-41A0-9160-F432B4620915}" name="Publisher"/>
    <tableColumn id="12" xr3:uid="{120F4A52-44EA-4684-8AC6-C5705D42B9E3}" name="Year Published"/>
    <tableColumn id="13" xr3:uid="{3CD20D53-699C-4AB1-A64F-5C49EC67DC42}" name="ISBN"/>
    <tableColumn id="14" xr3:uid="{0824584E-A9E9-4F90-9B19-D8A0E0647463}" name="Amazon BSR"/>
    <tableColumn id="15" xr3:uid="{51D1D649-86C5-4FEC-847E-EEC20205DF0B}" name="Amazon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411A-7BA9-437F-8490-B2B51E0155A5}">
  <dimension ref="A3:P37"/>
  <sheetViews>
    <sheetView topLeftCell="B26" zoomScale="102" workbookViewId="0">
      <selection activeCell="F51" sqref="F51"/>
    </sheetView>
  </sheetViews>
  <sheetFormatPr defaultRowHeight="14.4" x14ac:dyDescent="0.3"/>
  <cols>
    <col min="1" max="1" width="20.33203125" bestFit="1" customWidth="1"/>
    <col min="2" max="2" width="12.6640625" bestFit="1" customWidth="1"/>
    <col min="4" max="4" width="12.5546875" bestFit="1" customWidth="1"/>
    <col min="5" max="5" width="37.5546875" bestFit="1" customWidth="1"/>
    <col min="6" max="6" width="18.21875" bestFit="1" customWidth="1"/>
    <col min="7" max="7" width="23.5546875" bestFit="1" customWidth="1"/>
    <col min="8" max="8" width="18.21875" bestFit="1" customWidth="1"/>
    <col min="10" max="10" width="25.77734375" bestFit="1" customWidth="1"/>
    <col min="11" max="11" width="19.5546875" bestFit="1" customWidth="1"/>
    <col min="12" max="12" width="21" bestFit="1" customWidth="1"/>
    <col min="13" max="13" width="25.109375" bestFit="1" customWidth="1"/>
    <col min="15" max="15" width="20.44140625" bestFit="1" customWidth="1"/>
    <col min="16" max="16" width="18.21875" bestFit="1" customWidth="1"/>
  </cols>
  <sheetData>
    <row r="3" spans="1:16" x14ac:dyDescent="0.3">
      <c r="A3" s="2" t="s">
        <v>1293</v>
      </c>
      <c r="B3" t="s">
        <v>1295</v>
      </c>
      <c r="D3" s="2" t="s">
        <v>1293</v>
      </c>
      <c r="E3" t="s">
        <v>1295</v>
      </c>
      <c r="G3" s="2" t="s">
        <v>1293</v>
      </c>
      <c r="H3" t="s">
        <v>1295</v>
      </c>
      <c r="J3" s="2" t="s">
        <v>1293</v>
      </c>
      <c r="K3" t="s">
        <v>1295</v>
      </c>
      <c r="M3" s="2" t="s">
        <v>1295</v>
      </c>
      <c r="N3" s="2" t="s">
        <v>3</v>
      </c>
    </row>
    <row r="4" spans="1:16" x14ac:dyDescent="0.3">
      <c r="A4" s="3" t="s">
        <v>125</v>
      </c>
      <c r="B4">
        <v>8</v>
      </c>
      <c r="D4" s="3" t="s">
        <v>25</v>
      </c>
      <c r="E4">
        <v>254</v>
      </c>
      <c r="G4" s="3" t="s">
        <v>101</v>
      </c>
      <c r="H4">
        <v>17</v>
      </c>
      <c r="J4" s="3" t="s">
        <v>243</v>
      </c>
      <c r="K4">
        <v>47</v>
      </c>
      <c r="M4" s="2" t="s">
        <v>4</v>
      </c>
      <c r="N4" t="s">
        <v>25</v>
      </c>
      <c r="O4" t="s">
        <v>17</v>
      </c>
      <c r="P4" t="s">
        <v>1294</v>
      </c>
    </row>
    <row r="5" spans="1:16" x14ac:dyDescent="0.3">
      <c r="A5" s="3" t="s">
        <v>590</v>
      </c>
      <c r="B5">
        <v>8</v>
      </c>
      <c r="D5" s="3" t="s">
        <v>17</v>
      </c>
      <c r="E5">
        <v>246</v>
      </c>
      <c r="G5" s="3" t="s">
        <v>228</v>
      </c>
      <c r="H5">
        <v>18</v>
      </c>
      <c r="J5" s="3" t="s">
        <v>260</v>
      </c>
      <c r="K5">
        <v>26</v>
      </c>
      <c r="M5" t="s">
        <v>101</v>
      </c>
      <c r="N5">
        <v>17</v>
      </c>
      <c r="P5">
        <v>17</v>
      </c>
    </row>
    <row r="6" spans="1:16" x14ac:dyDescent="0.3">
      <c r="A6" s="3" t="s">
        <v>394</v>
      </c>
      <c r="B6">
        <v>8</v>
      </c>
      <c r="D6" s="3" t="s">
        <v>1294</v>
      </c>
      <c r="E6">
        <v>500</v>
      </c>
      <c r="G6" s="3" t="s">
        <v>47</v>
      </c>
      <c r="H6">
        <v>18</v>
      </c>
      <c r="J6" s="3" t="s">
        <v>37</v>
      </c>
      <c r="K6">
        <v>156</v>
      </c>
      <c r="M6" t="s">
        <v>228</v>
      </c>
      <c r="N6">
        <v>18</v>
      </c>
      <c r="P6">
        <v>18</v>
      </c>
    </row>
    <row r="7" spans="1:16" x14ac:dyDescent="0.3">
      <c r="A7" s="3" t="s">
        <v>289</v>
      </c>
      <c r="B7">
        <v>7</v>
      </c>
      <c r="G7" s="3" t="s">
        <v>31</v>
      </c>
      <c r="H7">
        <v>21</v>
      </c>
      <c r="J7" s="3" t="s">
        <v>247</v>
      </c>
      <c r="K7">
        <v>72</v>
      </c>
      <c r="M7" t="s">
        <v>47</v>
      </c>
      <c r="N7">
        <v>18</v>
      </c>
      <c r="P7">
        <v>18</v>
      </c>
    </row>
    <row r="8" spans="1:16" x14ac:dyDescent="0.3">
      <c r="A8" s="3" t="s">
        <v>100</v>
      </c>
      <c r="B8">
        <v>8</v>
      </c>
      <c r="G8" s="3" t="s">
        <v>18</v>
      </c>
      <c r="H8">
        <v>18</v>
      </c>
      <c r="J8" s="3" t="s">
        <v>19</v>
      </c>
      <c r="K8">
        <v>199</v>
      </c>
      <c r="M8" t="s">
        <v>31</v>
      </c>
      <c r="N8">
        <v>21</v>
      </c>
      <c r="P8">
        <v>21</v>
      </c>
    </row>
    <row r="9" spans="1:16" x14ac:dyDescent="0.3">
      <c r="A9" s="3" t="s">
        <v>645</v>
      </c>
      <c r="B9">
        <v>7</v>
      </c>
      <c r="G9" s="3" t="s">
        <v>1294</v>
      </c>
      <c r="H9">
        <v>92</v>
      </c>
      <c r="J9" s="3" t="s">
        <v>1294</v>
      </c>
      <c r="K9">
        <v>500</v>
      </c>
      <c r="M9" t="s">
        <v>18</v>
      </c>
      <c r="O9">
        <v>18</v>
      </c>
      <c r="P9">
        <v>18</v>
      </c>
    </row>
    <row r="10" spans="1:16" x14ac:dyDescent="0.3">
      <c r="A10" s="3" t="s">
        <v>1294</v>
      </c>
      <c r="B10">
        <v>46</v>
      </c>
      <c r="M10" t="s">
        <v>1294</v>
      </c>
      <c r="N10">
        <v>74</v>
      </c>
      <c r="O10">
        <v>18</v>
      </c>
      <c r="P10">
        <v>92</v>
      </c>
    </row>
    <row r="11" spans="1:16" x14ac:dyDescent="0.3">
      <c r="D11" s="2" t="s">
        <v>1293</v>
      </c>
      <c r="E11" t="s">
        <v>1296</v>
      </c>
      <c r="G11" s="2" t="s">
        <v>1293</v>
      </c>
      <c r="H11" t="s">
        <v>1297</v>
      </c>
      <c r="J11" s="2" t="s">
        <v>1293</v>
      </c>
      <c r="K11" t="s">
        <v>1298</v>
      </c>
    </row>
    <row r="12" spans="1:16" x14ac:dyDescent="0.3">
      <c r="A12" t="s">
        <v>1302</v>
      </c>
      <c r="D12" s="3" t="s">
        <v>936</v>
      </c>
      <c r="E12">
        <v>5</v>
      </c>
      <c r="G12" s="3" t="s">
        <v>129</v>
      </c>
      <c r="H12">
        <v>220000</v>
      </c>
      <c r="J12" s="3" t="s">
        <v>207</v>
      </c>
      <c r="K12">
        <v>400</v>
      </c>
      <c r="M12" s="3" t="s">
        <v>207</v>
      </c>
      <c r="N12">
        <f>GETPIVOTDATA("Weeks on List",$J$11,"Title",J12)</f>
        <v>400</v>
      </c>
    </row>
    <row r="13" spans="1:16" x14ac:dyDescent="0.3">
      <c r="A13">
        <v>16.828039999999987</v>
      </c>
      <c r="D13" s="3" t="s">
        <v>439</v>
      </c>
      <c r="E13">
        <v>5</v>
      </c>
      <c r="G13" s="3" t="s">
        <v>29</v>
      </c>
      <c r="H13">
        <v>130000</v>
      </c>
      <c r="J13" s="3" t="s">
        <v>211</v>
      </c>
      <c r="K13">
        <v>350</v>
      </c>
      <c r="M13" s="3" t="s">
        <v>211</v>
      </c>
      <c r="N13">
        <f t="shared" ref="N13:N16" si="0">GETPIVOTDATA("Weeks on List",$J$11,"Title",J13)</f>
        <v>350</v>
      </c>
    </row>
    <row r="14" spans="1:16" x14ac:dyDescent="0.3">
      <c r="D14" s="3" t="s">
        <v>1244</v>
      </c>
      <c r="E14">
        <v>5</v>
      </c>
      <c r="G14" s="3" t="s">
        <v>193</v>
      </c>
      <c r="H14">
        <v>180000</v>
      </c>
      <c r="J14" s="3" t="s">
        <v>71</v>
      </c>
      <c r="K14">
        <v>1200</v>
      </c>
      <c r="M14" s="3" t="s">
        <v>71</v>
      </c>
      <c r="N14">
        <f t="shared" si="0"/>
        <v>1200</v>
      </c>
    </row>
    <row r="15" spans="1:16" x14ac:dyDescent="0.3">
      <c r="D15" s="3" t="s">
        <v>787</v>
      </c>
      <c r="E15">
        <v>5</v>
      </c>
      <c r="G15" s="3" t="s">
        <v>150</v>
      </c>
      <c r="H15">
        <v>145000</v>
      </c>
      <c r="J15" s="3" t="s">
        <v>193</v>
      </c>
      <c r="K15">
        <v>400</v>
      </c>
      <c r="M15" s="3" t="s">
        <v>193</v>
      </c>
      <c r="N15">
        <f t="shared" si="0"/>
        <v>400</v>
      </c>
    </row>
    <row r="16" spans="1:16" x14ac:dyDescent="0.3">
      <c r="D16" s="3" t="s">
        <v>847</v>
      </c>
      <c r="E16">
        <v>5</v>
      </c>
      <c r="G16" s="3" t="s">
        <v>132</v>
      </c>
      <c r="H16">
        <v>130000</v>
      </c>
      <c r="J16" s="3" t="s">
        <v>89</v>
      </c>
      <c r="K16">
        <v>350</v>
      </c>
      <c r="M16" s="3" t="s">
        <v>89</v>
      </c>
      <c r="N16">
        <f t="shared" si="0"/>
        <v>350</v>
      </c>
    </row>
    <row r="17" spans="1:16" x14ac:dyDescent="0.3">
      <c r="D17" s="3" t="s">
        <v>665</v>
      </c>
      <c r="E17">
        <v>5</v>
      </c>
      <c r="G17" s="3" t="s">
        <v>134</v>
      </c>
      <c r="H17">
        <v>150000</v>
      </c>
      <c r="J17" s="3" t="s">
        <v>1294</v>
      </c>
      <c r="K17">
        <v>2700</v>
      </c>
    </row>
    <row r="18" spans="1:16" x14ac:dyDescent="0.3">
      <c r="D18" s="3" t="s">
        <v>1093</v>
      </c>
      <c r="E18">
        <v>5</v>
      </c>
      <c r="G18" s="3" t="s">
        <v>1294</v>
      </c>
      <c r="H18">
        <v>955000</v>
      </c>
    </row>
    <row r="19" spans="1:16" x14ac:dyDescent="0.3">
      <c r="D19" s="3" t="s">
        <v>1294</v>
      </c>
      <c r="E19">
        <v>35</v>
      </c>
    </row>
    <row r="20" spans="1:16" x14ac:dyDescent="0.3">
      <c r="J20" s="3" t="s">
        <v>1300</v>
      </c>
      <c r="L20" s="2" t="s">
        <v>1293</v>
      </c>
      <c r="M20" t="s">
        <v>1297</v>
      </c>
      <c r="O20" s="2" t="s">
        <v>1293</v>
      </c>
      <c r="P20" t="s">
        <v>1299</v>
      </c>
    </row>
    <row r="21" spans="1:16" x14ac:dyDescent="0.3">
      <c r="G21" s="2" t="s">
        <v>1293</v>
      </c>
      <c r="H21" t="s">
        <v>1299</v>
      </c>
      <c r="J21" t="s">
        <v>1295</v>
      </c>
      <c r="L21" s="3" t="s">
        <v>129</v>
      </c>
      <c r="M21">
        <v>220000</v>
      </c>
      <c r="O21" s="3" t="s">
        <v>119</v>
      </c>
      <c r="P21">
        <v>30</v>
      </c>
    </row>
    <row r="22" spans="1:16" x14ac:dyDescent="0.3">
      <c r="A22" s="2" t="s">
        <v>1293</v>
      </c>
      <c r="B22" t="s">
        <v>1295</v>
      </c>
      <c r="D22" s="2" t="s">
        <v>1293</v>
      </c>
      <c r="E22" t="s">
        <v>1295</v>
      </c>
      <c r="G22" s="3" t="s">
        <v>103</v>
      </c>
      <c r="H22" s="4">
        <v>81</v>
      </c>
      <c r="J22">
        <v>500</v>
      </c>
      <c r="L22" s="3" t="s">
        <v>1294</v>
      </c>
      <c r="M22">
        <v>220000</v>
      </c>
      <c r="O22" s="3" t="s">
        <v>1294</v>
      </c>
      <c r="P22">
        <v>30</v>
      </c>
    </row>
    <row r="23" spans="1:16" x14ac:dyDescent="0.3">
      <c r="A23" s="3" t="s">
        <v>48</v>
      </c>
      <c r="B23">
        <v>16</v>
      </c>
      <c r="D23" s="3">
        <v>2020</v>
      </c>
      <c r="E23">
        <v>44</v>
      </c>
      <c r="G23" s="3" t="s">
        <v>56</v>
      </c>
      <c r="H23" s="4">
        <v>81</v>
      </c>
    </row>
    <row r="24" spans="1:16" x14ac:dyDescent="0.3">
      <c r="A24" s="3" t="s">
        <v>303</v>
      </c>
      <c r="B24">
        <v>17</v>
      </c>
      <c r="D24" s="3">
        <v>2023</v>
      </c>
      <c r="E24">
        <v>57</v>
      </c>
      <c r="G24" s="3" t="s">
        <v>79</v>
      </c>
      <c r="H24" s="4">
        <v>110</v>
      </c>
      <c r="J24" t="s">
        <v>1301</v>
      </c>
    </row>
    <row r="25" spans="1:16" x14ac:dyDescent="0.3">
      <c r="A25" s="3" t="s">
        <v>92</v>
      </c>
      <c r="B25">
        <v>17</v>
      </c>
      <c r="D25" s="3">
        <v>2024</v>
      </c>
      <c r="E25">
        <v>63</v>
      </c>
      <c r="G25" s="3" t="s">
        <v>29</v>
      </c>
      <c r="H25" s="4">
        <v>64</v>
      </c>
      <c r="J25">
        <v>4.4121999999999986</v>
      </c>
      <c r="L25" s="2" t="s">
        <v>1293</v>
      </c>
      <c r="M25" t="s">
        <v>1298</v>
      </c>
    </row>
    <row r="26" spans="1:16" x14ac:dyDescent="0.3">
      <c r="A26" s="3" t="s">
        <v>213</v>
      </c>
      <c r="B26">
        <v>16</v>
      </c>
      <c r="D26" s="3">
        <v>2025</v>
      </c>
      <c r="E26">
        <v>60</v>
      </c>
      <c r="G26" s="3" t="s">
        <v>119</v>
      </c>
      <c r="H26" s="4">
        <v>30</v>
      </c>
      <c r="L26" s="3" t="s">
        <v>71</v>
      </c>
      <c r="M26">
        <v>1200</v>
      </c>
    </row>
    <row r="27" spans="1:16" x14ac:dyDescent="0.3">
      <c r="A27" s="3" t="s">
        <v>1294</v>
      </c>
      <c r="B27">
        <v>66</v>
      </c>
      <c r="D27" s="3">
        <v>2026</v>
      </c>
      <c r="E27">
        <v>56</v>
      </c>
      <c r="G27" s="3" t="s">
        <v>1294</v>
      </c>
      <c r="H27" s="4">
        <v>366</v>
      </c>
      <c r="L27" s="3" t="s">
        <v>1294</v>
      </c>
      <c r="M27">
        <v>1200</v>
      </c>
    </row>
    <row r="28" spans="1:16" x14ac:dyDescent="0.3">
      <c r="D28" s="3" t="s">
        <v>1294</v>
      </c>
      <c r="E28">
        <v>280</v>
      </c>
    </row>
    <row r="30" spans="1:16" x14ac:dyDescent="0.3">
      <c r="J30">
        <f>GETPIVOTDATA("Title",$J$21)</f>
        <v>500</v>
      </c>
    </row>
    <row r="31" spans="1:16" x14ac:dyDescent="0.3">
      <c r="J31">
        <f>GETPIVOTDATA("Rating",$J$24)</f>
        <v>4.4121999999999986</v>
      </c>
      <c r="L31" t="str">
        <f>J32&amp;-J33</f>
        <v>It Ends with Us-220000</v>
      </c>
    </row>
    <row r="32" spans="1:16" x14ac:dyDescent="0.3">
      <c r="J32" t="str">
        <f>L21</f>
        <v>It Ends with Us</v>
      </c>
    </row>
    <row r="33" spans="10:12" x14ac:dyDescent="0.3">
      <c r="J33">
        <f>GETPIVOTDATA("Reviews",$L$20,"Title","It Ends with Us")</f>
        <v>220000</v>
      </c>
      <c r="L33" t="str">
        <f>J34&amp;-J35</f>
        <v>Oh, the Places You'll Go!-1200</v>
      </c>
    </row>
    <row r="34" spans="10:12" x14ac:dyDescent="0.3">
      <c r="J34" t="str">
        <f>L26</f>
        <v>Oh, the Places You'll Go!</v>
      </c>
    </row>
    <row r="35" spans="10:12" x14ac:dyDescent="0.3">
      <c r="J35">
        <f>GETPIVOTDATA("Weeks on List",$L$25,"Title","Oh, the Places You'll Go!")</f>
        <v>1200</v>
      </c>
    </row>
    <row r="36" spans="10:12" x14ac:dyDescent="0.3">
      <c r="J36" t="str" cm="1">
        <f t="array" ref="J36:K36">O21:P21</f>
        <v>A Court of Silver Flames</v>
      </c>
      <c r="K36">
        <v>30</v>
      </c>
      <c r="L36" t="str">
        <f>J36&amp;-J37</f>
        <v>A Court of Silver Flames-30</v>
      </c>
    </row>
    <row r="37" spans="10:12" x14ac:dyDescent="0.3">
      <c r="J37">
        <f>GETPIVOTDATA("Amazon BSR",$O$20,"Title","A Court of Silver Flames")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C055-79F7-4D23-A604-5131327C914A}">
  <dimension ref="A1:O501"/>
  <sheetViews>
    <sheetView topLeftCell="C1" workbookViewId="0">
      <selection activeCell="E13" sqref="E13"/>
    </sheetView>
  </sheetViews>
  <sheetFormatPr defaultRowHeight="14.4" x14ac:dyDescent="0.3"/>
  <cols>
    <col min="1" max="1" width="7.44140625" bestFit="1" customWidth="1"/>
    <col min="2" max="2" width="36.33203125" bestFit="1" customWidth="1"/>
    <col min="3" max="3" width="22.109375" bestFit="1" customWidth="1"/>
    <col min="4" max="4" width="10.77734375" bestFit="1" customWidth="1"/>
    <col min="5" max="5" width="22.33203125" bestFit="1" customWidth="1"/>
    <col min="6" max="6" width="12" bestFit="1" customWidth="1"/>
    <col min="7" max="7" width="12.6640625" bestFit="1" customWidth="1"/>
    <col min="8" max="8" width="8.5546875" bestFit="1" customWidth="1"/>
    <col min="9" max="9" width="10" bestFit="1" customWidth="1"/>
    <col min="10" max="10" width="14.6640625" bestFit="1" customWidth="1"/>
    <col min="11" max="11" width="24.5546875" bestFit="1" customWidth="1"/>
    <col min="12" max="12" width="15.6640625" bestFit="1" customWidth="1"/>
    <col min="13" max="13" width="16.77734375" bestFit="1" customWidth="1"/>
    <col min="14" max="14" width="13.77734375" bestFit="1" customWidth="1"/>
    <col min="15" max="15" width="13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14.99</v>
      </c>
      <c r="H2">
        <v>4.7</v>
      </c>
      <c r="I2">
        <v>98000</v>
      </c>
      <c r="J2">
        <v>52</v>
      </c>
      <c r="K2" t="s">
        <v>20</v>
      </c>
      <c r="L2">
        <v>2024</v>
      </c>
      <c r="M2" t="s">
        <v>21</v>
      </c>
      <c r="N2">
        <v>112</v>
      </c>
      <c r="O2" t="s">
        <v>22</v>
      </c>
    </row>
    <row r="3" spans="1:15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>
        <v>11.69</v>
      </c>
      <c r="H3">
        <v>4.3</v>
      </c>
      <c r="I3">
        <v>1800</v>
      </c>
      <c r="J3">
        <v>12</v>
      </c>
      <c r="K3" t="s">
        <v>27</v>
      </c>
      <c r="L3">
        <v>2025</v>
      </c>
      <c r="M3" t="s">
        <v>28</v>
      </c>
      <c r="N3">
        <v>175</v>
      </c>
      <c r="O3" t="s">
        <v>22</v>
      </c>
    </row>
    <row r="4" spans="1:15" x14ac:dyDescent="0.3">
      <c r="A4">
        <v>3</v>
      </c>
      <c r="B4" t="s">
        <v>29</v>
      </c>
      <c r="C4" t="s">
        <v>30</v>
      </c>
      <c r="D4" t="s">
        <v>25</v>
      </c>
      <c r="E4" t="s">
        <v>31</v>
      </c>
      <c r="F4" t="s">
        <v>19</v>
      </c>
      <c r="G4">
        <v>12.99</v>
      </c>
      <c r="H4">
        <v>4.8</v>
      </c>
      <c r="I4">
        <v>130000</v>
      </c>
      <c r="J4">
        <v>108</v>
      </c>
      <c r="K4" t="s">
        <v>32</v>
      </c>
      <c r="L4">
        <v>2021</v>
      </c>
      <c r="M4" t="s">
        <v>33</v>
      </c>
      <c r="N4">
        <v>64</v>
      </c>
      <c r="O4" t="s">
        <v>22</v>
      </c>
    </row>
    <row r="5" spans="1:15" x14ac:dyDescent="0.3">
      <c r="A5">
        <v>4</v>
      </c>
      <c r="B5" t="s">
        <v>34</v>
      </c>
      <c r="C5" t="s">
        <v>35</v>
      </c>
      <c r="D5" t="s">
        <v>25</v>
      </c>
      <c r="E5" t="s">
        <v>36</v>
      </c>
      <c r="F5" t="s">
        <v>37</v>
      </c>
      <c r="G5">
        <v>19.579999999999998</v>
      </c>
      <c r="H5">
        <v>4.5999999999999996</v>
      </c>
      <c r="I5">
        <v>87363</v>
      </c>
      <c r="J5">
        <v>28</v>
      </c>
      <c r="K5" t="s">
        <v>38</v>
      </c>
      <c r="L5">
        <v>2025</v>
      </c>
      <c r="M5" t="s">
        <v>39</v>
      </c>
      <c r="N5">
        <v>143</v>
      </c>
      <c r="O5" t="s">
        <v>22</v>
      </c>
    </row>
    <row r="6" spans="1:15" x14ac:dyDescent="0.3">
      <c r="A6">
        <v>5</v>
      </c>
      <c r="B6" t="s">
        <v>40</v>
      </c>
      <c r="C6" t="s">
        <v>41</v>
      </c>
      <c r="D6" t="s">
        <v>17</v>
      </c>
      <c r="E6" t="s">
        <v>42</v>
      </c>
      <c r="F6" t="s">
        <v>19</v>
      </c>
      <c r="G6">
        <v>16.989999999999998</v>
      </c>
      <c r="H6">
        <v>4.8</v>
      </c>
      <c r="I6">
        <v>120000</v>
      </c>
      <c r="J6">
        <v>220</v>
      </c>
      <c r="K6" t="s">
        <v>43</v>
      </c>
      <c r="L6">
        <v>2018</v>
      </c>
      <c r="M6" t="s">
        <v>44</v>
      </c>
      <c r="N6">
        <v>237</v>
      </c>
      <c r="O6" t="s">
        <v>22</v>
      </c>
    </row>
    <row r="7" spans="1:15" x14ac:dyDescent="0.3">
      <c r="A7">
        <v>6</v>
      </c>
      <c r="B7" t="s">
        <v>45</v>
      </c>
      <c r="C7" t="s">
        <v>46</v>
      </c>
      <c r="D7" t="s">
        <v>25</v>
      </c>
      <c r="E7" t="s">
        <v>47</v>
      </c>
      <c r="F7" t="s">
        <v>19</v>
      </c>
      <c r="G7">
        <v>11.99</v>
      </c>
      <c r="H7">
        <v>4.7</v>
      </c>
      <c r="I7">
        <v>85000</v>
      </c>
      <c r="J7">
        <v>260</v>
      </c>
      <c r="K7" t="s">
        <v>48</v>
      </c>
      <c r="L7">
        <v>2015</v>
      </c>
      <c r="M7" t="s">
        <v>49</v>
      </c>
      <c r="N7">
        <v>468</v>
      </c>
      <c r="O7" t="s">
        <v>22</v>
      </c>
    </row>
    <row r="8" spans="1:15" x14ac:dyDescent="0.3">
      <c r="A8">
        <v>7</v>
      </c>
      <c r="B8" t="s">
        <v>50</v>
      </c>
      <c r="C8" t="s">
        <v>46</v>
      </c>
      <c r="D8" t="s">
        <v>25</v>
      </c>
      <c r="E8" t="s">
        <v>47</v>
      </c>
      <c r="F8" t="s">
        <v>37</v>
      </c>
      <c r="G8">
        <v>22.49</v>
      </c>
      <c r="H8">
        <v>4.8</v>
      </c>
      <c r="I8">
        <v>42000</v>
      </c>
      <c r="J8">
        <v>32</v>
      </c>
      <c r="K8" t="s">
        <v>48</v>
      </c>
      <c r="L8">
        <v>2024</v>
      </c>
      <c r="M8" t="s">
        <v>51</v>
      </c>
      <c r="N8">
        <v>460</v>
      </c>
      <c r="O8" t="s">
        <v>22</v>
      </c>
    </row>
    <row r="9" spans="1:15" x14ac:dyDescent="0.3">
      <c r="A9">
        <v>8</v>
      </c>
      <c r="B9" t="s">
        <v>52</v>
      </c>
      <c r="C9" t="s">
        <v>53</v>
      </c>
      <c r="D9" t="s">
        <v>25</v>
      </c>
      <c r="E9" t="s">
        <v>47</v>
      </c>
      <c r="F9" t="s">
        <v>37</v>
      </c>
      <c r="G9">
        <v>18.989999999999998</v>
      </c>
      <c r="H9">
        <v>4.5999999999999996</v>
      </c>
      <c r="I9">
        <v>77000</v>
      </c>
      <c r="J9">
        <v>50</v>
      </c>
      <c r="K9" t="s">
        <v>54</v>
      </c>
      <c r="L9">
        <v>2023</v>
      </c>
      <c r="M9" t="s">
        <v>55</v>
      </c>
      <c r="N9">
        <v>198</v>
      </c>
      <c r="O9" t="s">
        <v>22</v>
      </c>
    </row>
    <row r="10" spans="1:15" x14ac:dyDescent="0.3">
      <c r="A10">
        <v>9</v>
      </c>
      <c r="B10" t="s">
        <v>56</v>
      </c>
      <c r="C10" t="s">
        <v>57</v>
      </c>
      <c r="D10" t="s">
        <v>17</v>
      </c>
      <c r="E10" t="s">
        <v>58</v>
      </c>
      <c r="F10" t="s">
        <v>19</v>
      </c>
      <c r="G10">
        <v>16.489999999999998</v>
      </c>
      <c r="H10">
        <v>4.7</v>
      </c>
      <c r="I10">
        <v>95000</v>
      </c>
      <c r="J10">
        <v>150</v>
      </c>
      <c r="K10" t="s">
        <v>59</v>
      </c>
      <c r="L10">
        <v>2014</v>
      </c>
      <c r="M10" t="s">
        <v>60</v>
      </c>
      <c r="N10">
        <v>81</v>
      </c>
      <c r="O10" t="s">
        <v>22</v>
      </c>
    </row>
    <row r="11" spans="1:15" x14ac:dyDescent="0.3">
      <c r="A11">
        <v>10</v>
      </c>
      <c r="B11" t="s">
        <v>61</v>
      </c>
      <c r="C11" t="s">
        <v>62</v>
      </c>
      <c r="D11" t="s">
        <v>17</v>
      </c>
      <c r="E11" t="s">
        <v>63</v>
      </c>
      <c r="F11" t="s">
        <v>37</v>
      </c>
      <c r="G11">
        <v>21.99</v>
      </c>
      <c r="H11">
        <v>4.5</v>
      </c>
      <c r="I11">
        <v>18000</v>
      </c>
      <c r="J11">
        <v>28</v>
      </c>
      <c r="K11" t="s">
        <v>64</v>
      </c>
      <c r="L11">
        <v>2024</v>
      </c>
      <c r="M11" t="s">
        <v>65</v>
      </c>
      <c r="N11">
        <v>277</v>
      </c>
      <c r="O11" t="s">
        <v>22</v>
      </c>
    </row>
    <row r="12" spans="1:15" x14ac:dyDescent="0.3">
      <c r="A12">
        <v>11</v>
      </c>
      <c r="B12" t="s">
        <v>66</v>
      </c>
      <c r="C12" t="s">
        <v>67</v>
      </c>
      <c r="D12" t="s">
        <v>25</v>
      </c>
      <c r="E12" t="s">
        <v>68</v>
      </c>
      <c r="F12" t="s">
        <v>37</v>
      </c>
      <c r="G12">
        <v>9.49</v>
      </c>
      <c r="H12">
        <v>4.9000000000000004</v>
      </c>
      <c r="I12">
        <v>12000</v>
      </c>
      <c r="J12">
        <v>15</v>
      </c>
      <c r="K12" t="s">
        <v>69</v>
      </c>
      <c r="L12">
        <v>2024</v>
      </c>
      <c r="M12" t="s">
        <v>70</v>
      </c>
      <c r="N12">
        <v>375</v>
      </c>
      <c r="O12" t="s">
        <v>22</v>
      </c>
    </row>
    <row r="13" spans="1:15" x14ac:dyDescent="0.3">
      <c r="A13">
        <v>12</v>
      </c>
      <c r="B13" t="s">
        <v>71</v>
      </c>
      <c r="C13" t="s">
        <v>72</v>
      </c>
      <c r="D13" t="s">
        <v>25</v>
      </c>
      <c r="E13" t="s">
        <v>73</v>
      </c>
      <c r="F13" t="s">
        <v>37</v>
      </c>
      <c r="G13">
        <v>12.99</v>
      </c>
      <c r="H13">
        <v>4.9000000000000004</v>
      </c>
      <c r="I13">
        <v>60000</v>
      </c>
      <c r="J13">
        <v>1200</v>
      </c>
      <c r="K13" t="s">
        <v>38</v>
      </c>
      <c r="L13">
        <v>1990</v>
      </c>
      <c r="M13" t="s">
        <v>74</v>
      </c>
      <c r="N13">
        <v>387</v>
      </c>
      <c r="O13" t="s">
        <v>22</v>
      </c>
    </row>
    <row r="14" spans="1:15" x14ac:dyDescent="0.3">
      <c r="A14">
        <v>13</v>
      </c>
      <c r="B14" t="s">
        <v>75</v>
      </c>
      <c r="C14" t="s">
        <v>76</v>
      </c>
      <c r="D14" t="s">
        <v>25</v>
      </c>
      <c r="E14" t="s">
        <v>26</v>
      </c>
      <c r="F14" t="s">
        <v>37</v>
      </c>
      <c r="G14">
        <v>19.989999999999998</v>
      </c>
      <c r="H14">
        <v>4.2</v>
      </c>
      <c r="I14">
        <v>3500</v>
      </c>
      <c r="J14">
        <v>8</v>
      </c>
      <c r="K14" t="s">
        <v>77</v>
      </c>
      <c r="L14">
        <v>2026</v>
      </c>
      <c r="M14" t="s">
        <v>78</v>
      </c>
      <c r="N14">
        <v>118</v>
      </c>
      <c r="O14" t="s">
        <v>22</v>
      </c>
    </row>
    <row r="15" spans="1:15" x14ac:dyDescent="0.3">
      <c r="A15">
        <v>14</v>
      </c>
      <c r="B15" t="s">
        <v>79</v>
      </c>
      <c r="C15" t="s">
        <v>80</v>
      </c>
      <c r="D15" t="s">
        <v>17</v>
      </c>
      <c r="E15" t="s">
        <v>81</v>
      </c>
      <c r="F15" t="s">
        <v>19</v>
      </c>
      <c r="G15">
        <v>9.99</v>
      </c>
      <c r="H15">
        <v>4.5999999999999996</v>
      </c>
      <c r="I15">
        <v>22000</v>
      </c>
      <c r="J15">
        <v>40</v>
      </c>
      <c r="K15" t="s">
        <v>82</v>
      </c>
      <c r="L15">
        <v>2023</v>
      </c>
      <c r="M15" t="s">
        <v>83</v>
      </c>
      <c r="N15">
        <v>110</v>
      </c>
      <c r="O15" t="s">
        <v>22</v>
      </c>
    </row>
    <row r="16" spans="1:15" x14ac:dyDescent="0.3">
      <c r="A16">
        <v>15</v>
      </c>
      <c r="B16" t="s">
        <v>84</v>
      </c>
      <c r="C16" t="s">
        <v>85</v>
      </c>
      <c r="D16" t="s">
        <v>17</v>
      </c>
      <c r="E16" t="s">
        <v>86</v>
      </c>
      <c r="F16" t="s">
        <v>37</v>
      </c>
      <c r="G16">
        <v>14.99</v>
      </c>
      <c r="H16">
        <v>4.8</v>
      </c>
      <c r="I16">
        <v>45000</v>
      </c>
      <c r="J16">
        <v>130</v>
      </c>
      <c r="K16" t="s">
        <v>87</v>
      </c>
      <c r="L16">
        <v>2019</v>
      </c>
      <c r="M16" t="s">
        <v>88</v>
      </c>
      <c r="N16">
        <v>211</v>
      </c>
      <c r="O16" t="s">
        <v>22</v>
      </c>
    </row>
    <row r="17" spans="1:15" x14ac:dyDescent="0.3">
      <c r="A17">
        <v>16</v>
      </c>
      <c r="B17" t="s">
        <v>89</v>
      </c>
      <c r="C17" t="s">
        <v>90</v>
      </c>
      <c r="D17" t="s">
        <v>25</v>
      </c>
      <c r="E17" t="s">
        <v>91</v>
      </c>
      <c r="F17" t="s">
        <v>19</v>
      </c>
      <c r="G17">
        <v>24.99</v>
      </c>
      <c r="H17">
        <v>4.8</v>
      </c>
      <c r="I17">
        <v>55000</v>
      </c>
      <c r="J17">
        <v>350</v>
      </c>
      <c r="K17" t="s">
        <v>92</v>
      </c>
      <c r="L17">
        <v>2010</v>
      </c>
      <c r="M17" t="s">
        <v>93</v>
      </c>
      <c r="N17">
        <v>217</v>
      </c>
      <c r="O17" t="s">
        <v>22</v>
      </c>
    </row>
    <row r="18" spans="1:15" x14ac:dyDescent="0.3">
      <c r="A18">
        <v>17</v>
      </c>
      <c r="B18" t="s">
        <v>94</v>
      </c>
      <c r="C18" t="s">
        <v>95</v>
      </c>
      <c r="D18" t="s">
        <v>17</v>
      </c>
      <c r="E18" t="s">
        <v>96</v>
      </c>
      <c r="F18" t="s">
        <v>37</v>
      </c>
      <c r="G18">
        <v>20</v>
      </c>
      <c r="H18">
        <v>4.5</v>
      </c>
      <c r="I18">
        <v>5400</v>
      </c>
      <c r="J18">
        <v>14</v>
      </c>
      <c r="K18" t="s">
        <v>97</v>
      </c>
      <c r="L18">
        <v>2025</v>
      </c>
      <c r="M18" t="s">
        <v>98</v>
      </c>
      <c r="N18">
        <v>209</v>
      </c>
      <c r="O18" t="s">
        <v>22</v>
      </c>
    </row>
    <row r="19" spans="1:15" x14ac:dyDescent="0.3">
      <c r="A19">
        <v>18</v>
      </c>
      <c r="B19" t="s">
        <v>99</v>
      </c>
      <c r="C19" t="s">
        <v>100</v>
      </c>
      <c r="D19" t="s">
        <v>25</v>
      </c>
      <c r="E19" t="s">
        <v>101</v>
      </c>
      <c r="F19" t="s">
        <v>37</v>
      </c>
      <c r="G19">
        <v>21</v>
      </c>
      <c r="H19">
        <v>4.5999999999999996</v>
      </c>
      <c r="I19">
        <v>31000</v>
      </c>
      <c r="J19">
        <v>20</v>
      </c>
      <c r="K19" t="s">
        <v>32</v>
      </c>
      <c r="L19">
        <v>2025</v>
      </c>
      <c r="M19" t="s">
        <v>102</v>
      </c>
      <c r="N19">
        <v>339</v>
      </c>
      <c r="O19" t="s">
        <v>22</v>
      </c>
    </row>
    <row r="20" spans="1:15" x14ac:dyDescent="0.3">
      <c r="A20">
        <v>19</v>
      </c>
      <c r="B20" t="s">
        <v>103</v>
      </c>
      <c r="C20" t="s">
        <v>104</v>
      </c>
      <c r="D20" t="s">
        <v>25</v>
      </c>
      <c r="E20" t="s">
        <v>105</v>
      </c>
      <c r="F20" t="s">
        <v>37</v>
      </c>
      <c r="G20">
        <v>22</v>
      </c>
      <c r="H20">
        <v>4.4000000000000004</v>
      </c>
      <c r="I20">
        <v>9800</v>
      </c>
      <c r="J20">
        <v>18</v>
      </c>
      <c r="K20" t="s">
        <v>106</v>
      </c>
      <c r="L20">
        <v>2024</v>
      </c>
      <c r="M20" t="s">
        <v>107</v>
      </c>
      <c r="N20">
        <v>81</v>
      </c>
      <c r="O20" t="s">
        <v>22</v>
      </c>
    </row>
    <row r="21" spans="1:15" x14ac:dyDescent="0.3">
      <c r="A21">
        <v>20</v>
      </c>
      <c r="B21" t="s">
        <v>108</v>
      </c>
      <c r="C21" t="s">
        <v>109</v>
      </c>
      <c r="D21" t="s">
        <v>17</v>
      </c>
      <c r="E21" t="s">
        <v>110</v>
      </c>
      <c r="F21" t="s">
        <v>19</v>
      </c>
      <c r="G21">
        <v>12.99</v>
      </c>
      <c r="H21">
        <v>4.7</v>
      </c>
      <c r="I21">
        <v>14000</v>
      </c>
      <c r="J21">
        <v>22</v>
      </c>
      <c r="K21" t="s">
        <v>111</v>
      </c>
      <c r="L21">
        <v>2023</v>
      </c>
      <c r="M21" t="s">
        <v>112</v>
      </c>
      <c r="N21">
        <v>162</v>
      </c>
      <c r="O21" t="s">
        <v>22</v>
      </c>
    </row>
    <row r="22" spans="1:15" x14ac:dyDescent="0.3">
      <c r="A22">
        <v>21</v>
      </c>
      <c r="B22" t="s">
        <v>113</v>
      </c>
      <c r="C22" t="s">
        <v>24</v>
      </c>
      <c r="D22" t="s">
        <v>25</v>
      </c>
      <c r="E22" t="s">
        <v>26</v>
      </c>
      <c r="F22" t="s">
        <v>19</v>
      </c>
      <c r="G22">
        <v>10.99</v>
      </c>
      <c r="H22">
        <v>4.5</v>
      </c>
      <c r="I22">
        <v>93000</v>
      </c>
      <c r="J22">
        <v>93</v>
      </c>
      <c r="K22" t="s">
        <v>27</v>
      </c>
      <c r="L22">
        <v>2022</v>
      </c>
      <c r="M22" t="s">
        <v>114</v>
      </c>
      <c r="N22">
        <v>4613</v>
      </c>
      <c r="O22" t="s">
        <v>22</v>
      </c>
    </row>
    <row r="23" spans="1:15" x14ac:dyDescent="0.3">
      <c r="A23">
        <v>22</v>
      </c>
      <c r="B23" t="s">
        <v>115</v>
      </c>
      <c r="C23" t="s">
        <v>24</v>
      </c>
      <c r="D23" t="s">
        <v>25</v>
      </c>
      <c r="E23" t="s">
        <v>26</v>
      </c>
      <c r="F23" t="s">
        <v>19</v>
      </c>
      <c r="G23">
        <v>11.99</v>
      </c>
      <c r="H23">
        <v>4.4000000000000004</v>
      </c>
      <c r="I23">
        <v>8200</v>
      </c>
      <c r="J23">
        <v>18</v>
      </c>
      <c r="K23" t="s">
        <v>27</v>
      </c>
      <c r="L23">
        <v>2025</v>
      </c>
      <c r="M23" t="s">
        <v>116</v>
      </c>
      <c r="N23">
        <v>4451</v>
      </c>
      <c r="O23" t="s">
        <v>22</v>
      </c>
    </row>
    <row r="24" spans="1:15" x14ac:dyDescent="0.3">
      <c r="A24">
        <v>23</v>
      </c>
      <c r="B24" t="s">
        <v>117</v>
      </c>
      <c r="C24" t="s">
        <v>53</v>
      </c>
      <c r="D24" t="s">
        <v>25</v>
      </c>
      <c r="E24" t="s">
        <v>47</v>
      </c>
      <c r="F24" t="s">
        <v>37</v>
      </c>
      <c r="G24">
        <v>21.99</v>
      </c>
      <c r="H24">
        <v>4.7</v>
      </c>
      <c r="I24">
        <v>55000</v>
      </c>
      <c r="J24">
        <v>40</v>
      </c>
      <c r="K24" t="s">
        <v>54</v>
      </c>
      <c r="L24">
        <v>2023</v>
      </c>
      <c r="M24" t="s">
        <v>118</v>
      </c>
      <c r="N24">
        <v>2232</v>
      </c>
      <c r="O24" t="s">
        <v>22</v>
      </c>
    </row>
    <row r="25" spans="1:15" x14ac:dyDescent="0.3">
      <c r="A25">
        <v>24</v>
      </c>
      <c r="B25" t="s">
        <v>119</v>
      </c>
      <c r="C25" t="s">
        <v>46</v>
      </c>
      <c r="D25" t="s">
        <v>25</v>
      </c>
      <c r="E25" t="s">
        <v>47</v>
      </c>
      <c r="F25" t="s">
        <v>19</v>
      </c>
      <c r="G25">
        <v>12.99</v>
      </c>
      <c r="H25">
        <v>4.8</v>
      </c>
      <c r="I25">
        <v>72000</v>
      </c>
      <c r="J25">
        <v>150</v>
      </c>
      <c r="K25" t="s">
        <v>48</v>
      </c>
      <c r="L25">
        <v>2021</v>
      </c>
      <c r="M25" t="s">
        <v>120</v>
      </c>
      <c r="N25">
        <v>30</v>
      </c>
      <c r="O25" t="s">
        <v>22</v>
      </c>
    </row>
    <row r="26" spans="1:15" x14ac:dyDescent="0.3">
      <c r="A26">
        <v>25</v>
      </c>
      <c r="B26" t="s">
        <v>121</v>
      </c>
      <c r="C26" t="s">
        <v>122</v>
      </c>
      <c r="D26" t="s">
        <v>17</v>
      </c>
      <c r="E26" t="s">
        <v>96</v>
      </c>
      <c r="F26" t="s">
        <v>37</v>
      </c>
      <c r="G26">
        <v>18</v>
      </c>
      <c r="H26">
        <v>4.2</v>
      </c>
      <c r="I26">
        <v>41000</v>
      </c>
      <c r="J26">
        <v>60</v>
      </c>
      <c r="K26" t="s">
        <v>38</v>
      </c>
      <c r="L26">
        <v>2023</v>
      </c>
      <c r="M26" t="s">
        <v>123</v>
      </c>
      <c r="N26">
        <v>296</v>
      </c>
      <c r="O26" t="s">
        <v>22</v>
      </c>
    </row>
    <row r="27" spans="1:15" x14ac:dyDescent="0.3">
      <c r="A27">
        <v>26</v>
      </c>
      <c r="B27" t="s">
        <v>124</v>
      </c>
      <c r="C27" t="s">
        <v>125</v>
      </c>
      <c r="D27" t="s">
        <v>25</v>
      </c>
      <c r="E27" t="s">
        <v>126</v>
      </c>
      <c r="F27" t="s">
        <v>19</v>
      </c>
      <c r="G27">
        <v>10.99</v>
      </c>
      <c r="H27">
        <v>4.3</v>
      </c>
      <c r="I27">
        <v>28000</v>
      </c>
      <c r="J27">
        <v>80</v>
      </c>
      <c r="K27" t="s">
        <v>127</v>
      </c>
      <c r="L27">
        <v>2023</v>
      </c>
      <c r="M27" t="s">
        <v>128</v>
      </c>
      <c r="N27">
        <v>2898</v>
      </c>
      <c r="O27" t="s">
        <v>22</v>
      </c>
    </row>
    <row r="28" spans="1:15" x14ac:dyDescent="0.3">
      <c r="A28">
        <v>27</v>
      </c>
      <c r="B28" t="s">
        <v>129</v>
      </c>
      <c r="C28" t="s">
        <v>125</v>
      </c>
      <c r="D28" t="s">
        <v>25</v>
      </c>
      <c r="E28" t="s">
        <v>126</v>
      </c>
      <c r="F28" t="s">
        <v>19</v>
      </c>
      <c r="G28">
        <v>10.49</v>
      </c>
      <c r="H28">
        <v>4.3</v>
      </c>
      <c r="I28">
        <v>220000</v>
      </c>
      <c r="J28">
        <v>200</v>
      </c>
      <c r="K28" t="s">
        <v>130</v>
      </c>
      <c r="L28">
        <v>2016</v>
      </c>
      <c r="M28" t="s">
        <v>131</v>
      </c>
      <c r="N28">
        <v>1305</v>
      </c>
      <c r="O28" t="s">
        <v>22</v>
      </c>
    </row>
    <row r="29" spans="1:15" x14ac:dyDescent="0.3">
      <c r="A29">
        <v>28</v>
      </c>
      <c r="B29" t="s">
        <v>132</v>
      </c>
      <c r="C29" t="s">
        <v>125</v>
      </c>
      <c r="D29" t="s">
        <v>25</v>
      </c>
      <c r="E29" t="s">
        <v>126</v>
      </c>
      <c r="F29" t="s">
        <v>19</v>
      </c>
      <c r="G29">
        <v>9.99</v>
      </c>
      <c r="H29">
        <v>4.2</v>
      </c>
      <c r="I29">
        <v>130000</v>
      </c>
      <c r="J29">
        <v>140</v>
      </c>
      <c r="K29" t="s">
        <v>130</v>
      </c>
      <c r="L29">
        <v>2014</v>
      </c>
      <c r="M29" t="s">
        <v>133</v>
      </c>
      <c r="N29">
        <v>3265</v>
      </c>
      <c r="O29" t="s">
        <v>22</v>
      </c>
    </row>
    <row r="30" spans="1:15" x14ac:dyDescent="0.3">
      <c r="A30">
        <v>29</v>
      </c>
      <c r="B30" t="s">
        <v>134</v>
      </c>
      <c r="C30" t="s">
        <v>125</v>
      </c>
      <c r="D30" t="s">
        <v>25</v>
      </c>
      <c r="E30" t="s">
        <v>26</v>
      </c>
      <c r="F30" t="s">
        <v>19</v>
      </c>
      <c r="G30">
        <v>11.49</v>
      </c>
      <c r="H30">
        <v>4.5</v>
      </c>
      <c r="I30">
        <v>150000</v>
      </c>
      <c r="J30">
        <v>120</v>
      </c>
      <c r="K30" t="s">
        <v>135</v>
      </c>
      <c r="L30">
        <v>2022</v>
      </c>
      <c r="M30" t="s">
        <v>136</v>
      </c>
      <c r="N30">
        <v>4757</v>
      </c>
      <c r="O30" t="s">
        <v>22</v>
      </c>
    </row>
    <row r="31" spans="1:15" x14ac:dyDescent="0.3">
      <c r="A31">
        <v>30</v>
      </c>
      <c r="B31" s="1">
        <v>40118</v>
      </c>
      <c r="C31" t="s">
        <v>125</v>
      </c>
      <c r="D31" t="s">
        <v>25</v>
      </c>
      <c r="E31" t="s">
        <v>126</v>
      </c>
      <c r="F31" t="s">
        <v>19</v>
      </c>
      <c r="G31">
        <v>10.99</v>
      </c>
      <c r="H31">
        <v>4.4000000000000004</v>
      </c>
      <c r="I31">
        <v>85000</v>
      </c>
      <c r="J31">
        <v>160</v>
      </c>
      <c r="K31" t="s">
        <v>130</v>
      </c>
      <c r="L31">
        <v>2015</v>
      </c>
      <c r="M31" t="s">
        <v>137</v>
      </c>
      <c r="N31">
        <v>3573</v>
      </c>
      <c r="O31" t="s">
        <v>22</v>
      </c>
    </row>
    <row r="32" spans="1:15" x14ac:dyDescent="0.3">
      <c r="A32">
        <v>31</v>
      </c>
      <c r="B32" t="s">
        <v>138</v>
      </c>
      <c r="C32" t="s">
        <v>139</v>
      </c>
      <c r="D32" t="s">
        <v>25</v>
      </c>
      <c r="E32" t="s">
        <v>36</v>
      </c>
      <c r="F32" t="s">
        <v>19</v>
      </c>
      <c r="G32">
        <v>12.99</v>
      </c>
      <c r="H32">
        <v>4.2</v>
      </c>
      <c r="I32">
        <v>88000</v>
      </c>
      <c r="J32">
        <v>90</v>
      </c>
      <c r="K32" t="s">
        <v>140</v>
      </c>
      <c r="L32">
        <v>2020</v>
      </c>
      <c r="M32" t="s">
        <v>141</v>
      </c>
      <c r="N32">
        <v>3346</v>
      </c>
      <c r="O32" t="s">
        <v>22</v>
      </c>
    </row>
    <row r="33" spans="1:15" x14ac:dyDescent="0.3">
      <c r="A33">
        <v>32</v>
      </c>
      <c r="B33" t="s">
        <v>142</v>
      </c>
      <c r="C33" t="s">
        <v>143</v>
      </c>
      <c r="D33" t="s">
        <v>25</v>
      </c>
      <c r="E33" t="s">
        <v>36</v>
      </c>
      <c r="F33" t="s">
        <v>19</v>
      </c>
      <c r="G33">
        <v>14.99</v>
      </c>
      <c r="H33">
        <v>4.4000000000000004</v>
      </c>
      <c r="I33">
        <v>62000</v>
      </c>
      <c r="J33">
        <v>75</v>
      </c>
      <c r="K33" t="s">
        <v>144</v>
      </c>
      <c r="L33">
        <v>2022</v>
      </c>
      <c r="M33" t="s">
        <v>145</v>
      </c>
      <c r="N33">
        <v>2490</v>
      </c>
      <c r="O33" t="s">
        <v>22</v>
      </c>
    </row>
    <row r="34" spans="1:15" x14ac:dyDescent="0.3">
      <c r="A34">
        <v>33</v>
      </c>
      <c r="B34" t="s">
        <v>146</v>
      </c>
      <c r="C34" t="s">
        <v>147</v>
      </c>
      <c r="D34" t="s">
        <v>25</v>
      </c>
      <c r="E34" t="s">
        <v>101</v>
      </c>
      <c r="F34" t="s">
        <v>19</v>
      </c>
      <c r="G34">
        <v>14.49</v>
      </c>
      <c r="H34">
        <v>4.5</v>
      </c>
      <c r="I34">
        <v>105000</v>
      </c>
      <c r="J34">
        <v>80</v>
      </c>
      <c r="K34" t="s">
        <v>148</v>
      </c>
      <c r="L34">
        <v>2022</v>
      </c>
      <c r="M34" t="s">
        <v>149</v>
      </c>
      <c r="N34">
        <v>4223</v>
      </c>
      <c r="O34" t="s">
        <v>22</v>
      </c>
    </row>
    <row r="35" spans="1:15" x14ac:dyDescent="0.3">
      <c r="A35">
        <v>34</v>
      </c>
      <c r="B35" t="s">
        <v>150</v>
      </c>
      <c r="C35" t="s">
        <v>100</v>
      </c>
      <c r="D35" t="s">
        <v>25</v>
      </c>
      <c r="E35" t="s">
        <v>101</v>
      </c>
      <c r="F35" t="s">
        <v>19</v>
      </c>
      <c r="G35">
        <v>11.99</v>
      </c>
      <c r="H35">
        <v>4.5999999999999996</v>
      </c>
      <c r="I35">
        <v>145000</v>
      </c>
      <c r="J35">
        <v>120</v>
      </c>
      <c r="K35" t="s">
        <v>151</v>
      </c>
      <c r="L35">
        <v>2017</v>
      </c>
      <c r="M35" t="s">
        <v>152</v>
      </c>
      <c r="N35">
        <v>3396</v>
      </c>
      <c r="O35" t="s">
        <v>22</v>
      </c>
    </row>
    <row r="36" spans="1:15" x14ac:dyDescent="0.3">
      <c r="A36">
        <v>35</v>
      </c>
      <c r="B36" t="s">
        <v>153</v>
      </c>
      <c r="C36" t="s">
        <v>100</v>
      </c>
      <c r="D36" t="s">
        <v>25</v>
      </c>
      <c r="E36" t="s">
        <v>101</v>
      </c>
      <c r="F36" t="s">
        <v>19</v>
      </c>
      <c r="G36">
        <v>12.99</v>
      </c>
      <c r="H36">
        <v>4.4000000000000004</v>
      </c>
      <c r="I36">
        <v>68000</v>
      </c>
      <c r="J36">
        <v>95</v>
      </c>
      <c r="K36" t="s">
        <v>32</v>
      </c>
      <c r="L36">
        <v>2019</v>
      </c>
      <c r="M36" t="s">
        <v>154</v>
      </c>
      <c r="N36">
        <v>3806</v>
      </c>
      <c r="O36" t="s">
        <v>22</v>
      </c>
    </row>
    <row r="37" spans="1:15" x14ac:dyDescent="0.3">
      <c r="A37">
        <v>36</v>
      </c>
      <c r="B37" t="s">
        <v>155</v>
      </c>
      <c r="C37" t="s">
        <v>100</v>
      </c>
      <c r="D37" t="s">
        <v>25</v>
      </c>
      <c r="E37" t="s">
        <v>101</v>
      </c>
      <c r="F37" t="s">
        <v>19</v>
      </c>
      <c r="G37">
        <v>13.49</v>
      </c>
      <c r="H37">
        <v>4.4000000000000004</v>
      </c>
      <c r="I37">
        <v>50000</v>
      </c>
      <c r="J37">
        <v>70</v>
      </c>
      <c r="K37" t="s">
        <v>32</v>
      </c>
      <c r="L37">
        <v>2021</v>
      </c>
      <c r="M37" t="s">
        <v>156</v>
      </c>
      <c r="N37">
        <v>3653</v>
      </c>
      <c r="O37" t="s">
        <v>22</v>
      </c>
    </row>
    <row r="38" spans="1:15" x14ac:dyDescent="0.3">
      <c r="A38">
        <v>37</v>
      </c>
      <c r="B38" t="s">
        <v>157</v>
      </c>
      <c r="C38" t="s">
        <v>158</v>
      </c>
      <c r="D38" t="s">
        <v>17</v>
      </c>
      <c r="E38" t="s">
        <v>159</v>
      </c>
      <c r="F38" t="s">
        <v>37</v>
      </c>
      <c r="G38">
        <v>20</v>
      </c>
      <c r="H38">
        <v>4.4000000000000004</v>
      </c>
      <c r="I38">
        <v>37000</v>
      </c>
      <c r="J38">
        <v>40</v>
      </c>
      <c r="K38" t="s">
        <v>160</v>
      </c>
      <c r="L38">
        <v>2023</v>
      </c>
      <c r="M38" t="s">
        <v>161</v>
      </c>
      <c r="N38">
        <v>2226</v>
      </c>
      <c r="O38" t="s">
        <v>22</v>
      </c>
    </row>
    <row r="39" spans="1:15" x14ac:dyDescent="0.3">
      <c r="A39">
        <v>38</v>
      </c>
      <c r="B39" t="s">
        <v>162</v>
      </c>
      <c r="C39" t="s">
        <v>163</v>
      </c>
      <c r="D39" t="s">
        <v>17</v>
      </c>
      <c r="E39" t="s">
        <v>159</v>
      </c>
      <c r="F39" t="s">
        <v>37</v>
      </c>
      <c r="G39">
        <v>17.989999999999998</v>
      </c>
      <c r="H39">
        <v>4.5</v>
      </c>
      <c r="I39">
        <v>53000</v>
      </c>
      <c r="J39">
        <v>100</v>
      </c>
      <c r="K39" t="s">
        <v>164</v>
      </c>
      <c r="L39">
        <v>2020</v>
      </c>
      <c r="M39" t="s">
        <v>165</v>
      </c>
      <c r="N39">
        <v>4446</v>
      </c>
      <c r="O39" t="s">
        <v>22</v>
      </c>
    </row>
    <row r="40" spans="1:15" x14ac:dyDescent="0.3">
      <c r="A40">
        <v>39</v>
      </c>
      <c r="B40" t="s">
        <v>166</v>
      </c>
      <c r="C40" t="s">
        <v>167</v>
      </c>
      <c r="D40" t="s">
        <v>17</v>
      </c>
      <c r="E40" t="s">
        <v>168</v>
      </c>
      <c r="F40" t="s">
        <v>19</v>
      </c>
      <c r="G40">
        <v>15.99</v>
      </c>
      <c r="H40">
        <v>4.5999999999999996</v>
      </c>
      <c r="I40">
        <v>40000</v>
      </c>
      <c r="J40">
        <v>80</v>
      </c>
      <c r="K40" t="s">
        <v>140</v>
      </c>
      <c r="L40">
        <v>2021</v>
      </c>
      <c r="M40" t="s">
        <v>169</v>
      </c>
      <c r="N40">
        <v>4410</v>
      </c>
      <c r="O40" t="s">
        <v>22</v>
      </c>
    </row>
    <row r="41" spans="1:15" x14ac:dyDescent="0.3">
      <c r="A41">
        <v>40</v>
      </c>
      <c r="B41" t="s">
        <v>170</v>
      </c>
      <c r="C41" t="s">
        <v>171</v>
      </c>
      <c r="D41" t="s">
        <v>17</v>
      </c>
      <c r="E41" t="s">
        <v>172</v>
      </c>
      <c r="F41" t="s">
        <v>37</v>
      </c>
      <c r="G41">
        <v>22</v>
      </c>
      <c r="H41">
        <v>4.7</v>
      </c>
      <c r="I41">
        <v>32000</v>
      </c>
      <c r="J41">
        <v>45</v>
      </c>
      <c r="K41" t="s">
        <v>173</v>
      </c>
      <c r="L41">
        <v>2023</v>
      </c>
      <c r="M41" t="s">
        <v>174</v>
      </c>
      <c r="N41">
        <v>1046</v>
      </c>
      <c r="O41" t="s">
        <v>22</v>
      </c>
    </row>
    <row r="42" spans="1:15" x14ac:dyDescent="0.3">
      <c r="A42">
        <v>41</v>
      </c>
      <c r="B42" t="s">
        <v>175</v>
      </c>
      <c r="C42" t="s">
        <v>176</v>
      </c>
      <c r="D42" t="s">
        <v>17</v>
      </c>
      <c r="E42" t="s">
        <v>177</v>
      </c>
      <c r="F42" t="s">
        <v>37</v>
      </c>
      <c r="G42">
        <v>19.989999999999998</v>
      </c>
      <c r="H42">
        <v>4.5999999999999996</v>
      </c>
      <c r="I42">
        <v>28000</v>
      </c>
      <c r="J42">
        <v>55</v>
      </c>
      <c r="K42" t="s">
        <v>148</v>
      </c>
      <c r="L42">
        <v>2023</v>
      </c>
      <c r="M42" t="s">
        <v>178</v>
      </c>
      <c r="N42">
        <v>1734</v>
      </c>
      <c r="O42" t="s">
        <v>22</v>
      </c>
    </row>
    <row r="43" spans="1:15" x14ac:dyDescent="0.3">
      <c r="A43">
        <v>42</v>
      </c>
      <c r="B43" t="s">
        <v>179</v>
      </c>
      <c r="C43" t="s">
        <v>176</v>
      </c>
      <c r="D43" t="s">
        <v>17</v>
      </c>
      <c r="E43" t="s">
        <v>180</v>
      </c>
      <c r="F43" t="s">
        <v>19</v>
      </c>
      <c r="G43">
        <v>14.99</v>
      </c>
      <c r="H43">
        <v>4.5999999999999996</v>
      </c>
      <c r="I43">
        <v>55000</v>
      </c>
      <c r="J43">
        <v>150</v>
      </c>
      <c r="K43" t="s">
        <v>148</v>
      </c>
      <c r="L43">
        <v>2017</v>
      </c>
      <c r="M43" t="s">
        <v>181</v>
      </c>
      <c r="N43">
        <v>563</v>
      </c>
      <c r="O43" t="s">
        <v>22</v>
      </c>
    </row>
    <row r="44" spans="1:15" x14ac:dyDescent="0.3">
      <c r="A44">
        <v>43</v>
      </c>
      <c r="B44" t="s">
        <v>182</v>
      </c>
      <c r="C44" t="s">
        <v>183</v>
      </c>
      <c r="D44" t="s">
        <v>17</v>
      </c>
      <c r="E44" t="s">
        <v>184</v>
      </c>
      <c r="F44" t="s">
        <v>37</v>
      </c>
      <c r="G44">
        <v>26</v>
      </c>
      <c r="H44">
        <v>4.5999999999999996</v>
      </c>
      <c r="I44">
        <v>22000</v>
      </c>
      <c r="J44">
        <v>60</v>
      </c>
      <c r="K44" t="s">
        <v>64</v>
      </c>
      <c r="L44">
        <v>2023</v>
      </c>
      <c r="M44" t="s">
        <v>185</v>
      </c>
      <c r="N44">
        <v>1375</v>
      </c>
      <c r="O44" t="s">
        <v>22</v>
      </c>
    </row>
    <row r="45" spans="1:15" x14ac:dyDescent="0.3">
      <c r="A45">
        <v>44</v>
      </c>
      <c r="B45" t="s">
        <v>186</v>
      </c>
      <c r="C45" t="s">
        <v>187</v>
      </c>
      <c r="D45" t="s">
        <v>17</v>
      </c>
      <c r="E45" t="s">
        <v>188</v>
      </c>
      <c r="F45" t="s">
        <v>37</v>
      </c>
      <c r="G45">
        <v>19.989999999999998</v>
      </c>
      <c r="H45">
        <v>4.7</v>
      </c>
      <c r="I45">
        <v>18000</v>
      </c>
      <c r="J45">
        <v>40</v>
      </c>
      <c r="K45" t="s">
        <v>189</v>
      </c>
      <c r="L45">
        <v>2023</v>
      </c>
      <c r="M45" t="s">
        <v>190</v>
      </c>
      <c r="N45">
        <v>835</v>
      </c>
      <c r="O45" t="s">
        <v>22</v>
      </c>
    </row>
    <row r="46" spans="1:15" x14ac:dyDescent="0.3">
      <c r="A46">
        <v>45</v>
      </c>
      <c r="B46" t="s">
        <v>191</v>
      </c>
      <c r="C46" t="s">
        <v>187</v>
      </c>
      <c r="D46" t="s">
        <v>17</v>
      </c>
      <c r="E46" t="s">
        <v>188</v>
      </c>
      <c r="F46" t="s">
        <v>19</v>
      </c>
      <c r="G46">
        <v>14.99</v>
      </c>
      <c r="H46">
        <v>4.7</v>
      </c>
      <c r="I46">
        <v>65000</v>
      </c>
      <c r="J46">
        <v>100</v>
      </c>
      <c r="K46" t="s">
        <v>189</v>
      </c>
      <c r="L46">
        <v>2020</v>
      </c>
      <c r="M46" t="s">
        <v>192</v>
      </c>
      <c r="N46">
        <v>4016</v>
      </c>
      <c r="O46" t="s">
        <v>22</v>
      </c>
    </row>
    <row r="47" spans="1:15" x14ac:dyDescent="0.3">
      <c r="A47">
        <v>46</v>
      </c>
      <c r="B47" t="s">
        <v>193</v>
      </c>
      <c r="C47" t="s">
        <v>194</v>
      </c>
      <c r="D47" t="s">
        <v>17</v>
      </c>
      <c r="E47" t="s">
        <v>195</v>
      </c>
      <c r="F47" t="s">
        <v>19</v>
      </c>
      <c r="G47">
        <v>12.99</v>
      </c>
      <c r="H47">
        <v>4.7</v>
      </c>
      <c r="I47">
        <v>180000</v>
      </c>
      <c r="J47">
        <v>400</v>
      </c>
      <c r="K47" t="s">
        <v>196</v>
      </c>
      <c r="L47">
        <v>1997</v>
      </c>
      <c r="M47" t="s">
        <v>197</v>
      </c>
      <c r="N47">
        <v>2641</v>
      </c>
      <c r="O47" t="s">
        <v>22</v>
      </c>
    </row>
    <row r="48" spans="1:15" x14ac:dyDescent="0.3">
      <c r="A48">
        <v>47</v>
      </c>
      <c r="B48" t="s">
        <v>198</v>
      </c>
      <c r="C48" t="s">
        <v>199</v>
      </c>
      <c r="D48" t="s">
        <v>17</v>
      </c>
      <c r="E48" t="s">
        <v>18</v>
      </c>
      <c r="F48" t="s">
        <v>19</v>
      </c>
      <c r="G48">
        <v>13.99</v>
      </c>
      <c r="H48">
        <v>4.5</v>
      </c>
      <c r="I48">
        <v>115000</v>
      </c>
      <c r="J48">
        <v>200</v>
      </c>
      <c r="K48" t="s">
        <v>200</v>
      </c>
      <c r="L48">
        <v>2016</v>
      </c>
      <c r="M48" t="s">
        <v>201</v>
      </c>
      <c r="N48">
        <v>2907</v>
      </c>
      <c r="O48" t="s">
        <v>22</v>
      </c>
    </row>
    <row r="49" spans="1:15" x14ac:dyDescent="0.3">
      <c r="A49">
        <v>48</v>
      </c>
      <c r="B49" t="s">
        <v>202</v>
      </c>
      <c r="C49" t="s">
        <v>203</v>
      </c>
      <c r="D49" t="s">
        <v>17</v>
      </c>
      <c r="E49" t="s">
        <v>204</v>
      </c>
      <c r="F49" t="s">
        <v>37</v>
      </c>
      <c r="G49">
        <v>18.989999999999998</v>
      </c>
      <c r="H49">
        <v>4.8</v>
      </c>
      <c r="I49">
        <v>72000</v>
      </c>
      <c r="J49">
        <v>130</v>
      </c>
      <c r="K49" t="s">
        <v>205</v>
      </c>
      <c r="L49">
        <v>2018</v>
      </c>
      <c r="M49" t="s">
        <v>206</v>
      </c>
      <c r="N49">
        <v>1969</v>
      </c>
      <c r="O49" t="s">
        <v>22</v>
      </c>
    </row>
    <row r="50" spans="1:15" x14ac:dyDescent="0.3">
      <c r="A50">
        <v>49</v>
      </c>
      <c r="B50" t="s">
        <v>207</v>
      </c>
      <c r="C50" t="s">
        <v>208</v>
      </c>
      <c r="D50" t="s">
        <v>25</v>
      </c>
      <c r="E50" t="s">
        <v>31</v>
      </c>
      <c r="F50" t="s">
        <v>19</v>
      </c>
      <c r="G50">
        <v>13.99</v>
      </c>
      <c r="H50">
        <v>4.7</v>
      </c>
      <c r="I50">
        <v>90000</v>
      </c>
      <c r="J50">
        <v>400</v>
      </c>
      <c r="K50" t="s">
        <v>209</v>
      </c>
      <c r="L50">
        <v>1965</v>
      </c>
      <c r="M50" t="s">
        <v>210</v>
      </c>
      <c r="N50">
        <v>4535</v>
      </c>
      <c r="O50" t="s">
        <v>22</v>
      </c>
    </row>
    <row r="51" spans="1:15" x14ac:dyDescent="0.3">
      <c r="A51">
        <v>50</v>
      </c>
      <c r="B51" t="s">
        <v>211</v>
      </c>
      <c r="C51" t="s">
        <v>212</v>
      </c>
      <c r="D51" t="s">
        <v>25</v>
      </c>
      <c r="E51" t="s">
        <v>31</v>
      </c>
      <c r="F51" t="s">
        <v>19</v>
      </c>
      <c r="G51">
        <v>10.99</v>
      </c>
      <c r="H51">
        <v>4.7</v>
      </c>
      <c r="I51">
        <v>75000</v>
      </c>
      <c r="J51">
        <v>350</v>
      </c>
      <c r="K51" t="s">
        <v>213</v>
      </c>
      <c r="L51">
        <v>1985</v>
      </c>
      <c r="M51" t="s">
        <v>214</v>
      </c>
      <c r="N51">
        <v>980</v>
      </c>
      <c r="O51" t="s">
        <v>22</v>
      </c>
    </row>
    <row r="52" spans="1:15" x14ac:dyDescent="0.3">
      <c r="A52">
        <v>51</v>
      </c>
      <c r="B52" t="s">
        <v>215</v>
      </c>
      <c r="C52" t="s">
        <v>216</v>
      </c>
      <c r="D52" t="s">
        <v>17</v>
      </c>
      <c r="E52" t="s">
        <v>172</v>
      </c>
      <c r="F52" t="s">
        <v>19</v>
      </c>
      <c r="G52">
        <v>15.64</v>
      </c>
      <c r="H52">
        <v>4.3</v>
      </c>
      <c r="I52">
        <v>35382</v>
      </c>
      <c r="J52">
        <v>43</v>
      </c>
      <c r="K52" t="s">
        <v>92</v>
      </c>
      <c r="L52">
        <v>2019</v>
      </c>
      <c r="M52" t="s">
        <v>217</v>
      </c>
      <c r="N52">
        <v>1571</v>
      </c>
      <c r="O52" t="s">
        <v>22</v>
      </c>
    </row>
    <row r="53" spans="1:15" x14ac:dyDescent="0.3">
      <c r="A53">
        <v>52</v>
      </c>
      <c r="B53" t="s">
        <v>218</v>
      </c>
      <c r="C53" t="s">
        <v>219</v>
      </c>
      <c r="D53" t="s">
        <v>17</v>
      </c>
      <c r="E53" t="s">
        <v>86</v>
      </c>
      <c r="F53" t="s">
        <v>37</v>
      </c>
      <c r="G53">
        <v>22.72</v>
      </c>
      <c r="H53">
        <v>4.7</v>
      </c>
      <c r="I53">
        <v>13082</v>
      </c>
      <c r="J53">
        <v>8</v>
      </c>
      <c r="K53" t="s">
        <v>220</v>
      </c>
      <c r="L53">
        <v>2019</v>
      </c>
      <c r="M53" t="s">
        <v>221</v>
      </c>
      <c r="N53">
        <v>710</v>
      </c>
      <c r="O53" t="s">
        <v>22</v>
      </c>
    </row>
    <row r="54" spans="1:15" x14ac:dyDescent="0.3">
      <c r="A54">
        <v>53</v>
      </c>
      <c r="B54" t="s">
        <v>222</v>
      </c>
      <c r="C54" t="s">
        <v>223</v>
      </c>
      <c r="D54" t="s">
        <v>17</v>
      </c>
      <c r="E54" t="s">
        <v>224</v>
      </c>
      <c r="F54" t="s">
        <v>19</v>
      </c>
      <c r="G54">
        <v>14.29</v>
      </c>
      <c r="H54">
        <v>4.0999999999999996</v>
      </c>
      <c r="I54">
        <v>4947</v>
      </c>
      <c r="J54">
        <v>44</v>
      </c>
      <c r="K54" t="s">
        <v>92</v>
      </c>
      <c r="L54">
        <v>2026</v>
      </c>
      <c r="M54" t="s">
        <v>225</v>
      </c>
      <c r="N54">
        <v>5516</v>
      </c>
      <c r="O54" t="s">
        <v>22</v>
      </c>
    </row>
    <row r="55" spans="1:15" x14ac:dyDescent="0.3">
      <c r="A55">
        <v>54</v>
      </c>
      <c r="B55" t="s">
        <v>226</v>
      </c>
      <c r="C55" t="s">
        <v>227</v>
      </c>
      <c r="D55" t="s">
        <v>25</v>
      </c>
      <c r="E55" t="s">
        <v>228</v>
      </c>
      <c r="F55" t="s">
        <v>19</v>
      </c>
      <c r="G55">
        <v>16.73</v>
      </c>
      <c r="H55">
        <v>4.5</v>
      </c>
      <c r="I55">
        <v>5664</v>
      </c>
      <c r="J55">
        <v>48</v>
      </c>
      <c r="K55" t="s">
        <v>140</v>
      </c>
      <c r="L55">
        <v>2018</v>
      </c>
      <c r="M55" t="s">
        <v>229</v>
      </c>
      <c r="N55">
        <v>3590</v>
      </c>
      <c r="O55" t="s">
        <v>22</v>
      </c>
    </row>
    <row r="56" spans="1:15" x14ac:dyDescent="0.3">
      <c r="A56">
        <v>55</v>
      </c>
      <c r="B56" t="s">
        <v>230</v>
      </c>
      <c r="C56" t="s">
        <v>231</v>
      </c>
      <c r="D56" t="s">
        <v>17</v>
      </c>
      <c r="E56" t="s">
        <v>232</v>
      </c>
      <c r="F56" t="s">
        <v>37</v>
      </c>
      <c r="G56">
        <v>29.24</v>
      </c>
      <c r="H56">
        <v>4.0999999999999996</v>
      </c>
      <c r="I56">
        <v>6271</v>
      </c>
      <c r="J56">
        <v>43</v>
      </c>
      <c r="K56" t="s">
        <v>196</v>
      </c>
      <c r="L56">
        <v>2012</v>
      </c>
      <c r="M56" t="s">
        <v>233</v>
      </c>
      <c r="N56">
        <v>858</v>
      </c>
      <c r="O56" t="s">
        <v>22</v>
      </c>
    </row>
    <row r="57" spans="1:15" x14ac:dyDescent="0.3">
      <c r="A57">
        <v>56</v>
      </c>
      <c r="B57" t="s">
        <v>234</v>
      </c>
      <c r="C57" t="s">
        <v>235</v>
      </c>
      <c r="D57" t="s">
        <v>17</v>
      </c>
      <c r="E57" t="s">
        <v>236</v>
      </c>
      <c r="F57" t="s">
        <v>37</v>
      </c>
      <c r="G57">
        <v>22.3</v>
      </c>
      <c r="H57">
        <v>4.4000000000000004</v>
      </c>
      <c r="I57">
        <v>22040</v>
      </c>
      <c r="J57">
        <v>47</v>
      </c>
      <c r="K57" t="s">
        <v>32</v>
      </c>
      <c r="L57">
        <v>2015</v>
      </c>
      <c r="M57" t="s">
        <v>237</v>
      </c>
      <c r="N57">
        <v>2473</v>
      </c>
      <c r="O57" t="s">
        <v>22</v>
      </c>
    </row>
    <row r="58" spans="1:15" x14ac:dyDescent="0.3">
      <c r="A58">
        <v>57</v>
      </c>
      <c r="B58" t="s">
        <v>238</v>
      </c>
      <c r="C58" t="s">
        <v>239</v>
      </c>
      <c r="D58" t="s">
        <v>17</v>
      </c>
      <c r="E58" t="s">
        <v>172</v>
      </c>
      <c r="F58" t="s">
        <v>37</v>
      </c>
      <c r="G58">
        <v>19.43</v>
      </c>
      <c r="H58">
        <v>4.0999999999999996</v>
      </c>
      <c r="I58">
        <v>41986</v>
      </c>
      <c r="J58">
        <v>33</v>
      </c>
      <c r="K58" t="s">
        <v>164</v>
      </c>
      <c r="L58">
        <v>2025</v>
      </c>
      <c r="M58" t="s">
        <v>240</v>
      </c>
      <c r="N58">
        <v>3703</v>
      </c>
      <c r="O58" t="s">
        <v>22</v>
      </c>
    </row>
    <row r="59" spans="1:15" x14ac:dyDescent="0.3">
      <c r="A59">
        <v>58</v>
      </c>
      <c r="B59" t="s">
        <v>241</v>
      </c>
      <c r="C59" t="s">
        <v>242</v>
      </c>
      <c r="D59" t="s">
        <v>25</v>
      </c>
      <c r="E59" t="s">
        <v>91</v>
      </c>
      <c r="F59" t="s">
        <v>243</v>
      </c>
      <c r="G59">
        <v>27.94</v>
      </c>
      <c r="H59">
        <v>4.7</v>
      </c>
      <c r="I59">
        <v>11090</v>
      </c>
      <c r="J59">
        <v>36</v>
      </c>
      <c r="K59" t="s">
        <v>20</v>
      </c>
      <c r="L59">
        <v>2026</v>
      </c>
      <c r="M59" t="s">
        <v>244</v>
      </c>
      <c r="N59">
        <v>3984</v>
      </c>
      <c r="O59" t="s">
        <v>22</v>
      </c>
    </row>
    <row r="60" spans="1:15" x14ac:dyDescent="0.3">
      <c r="A60">
        <v>59</v>
      </c>
      <c r="B60" t="s">
        <v>245</v>
      </c>
      <c r="C60" t="s">
        <v>246</v>
      </c>
      <c r="D60" t="s">
        <v>25</v>
      </c>
      <c r="E60" t="s">
        <v>26</v>
      </c>
      <c r="F60" t="s">
        <v>247</v>
      </c>
      <c r="G60">
        <v>11.53</v>
      </c>
      <c r="H60">
        <v>4.0999999999999996</v>
      </c>
      <c r="I60">
        <v>10738</v>
      </c>
      <c r="J60">
        <v>33</v>
      </c>
      <c r="K60" t="s">
        <v>106</v>
      </c>
      <c r="L60">
        <v>2023</v>
      </c>
      <c r="M60" t="s">
        <v>248</v>
      </c>
      <c r="N60">
        <v>3208</v>
      </c>
      <c r="O60" t="s">
        <v>22</v>
      </c>
    </row>
    <row r="61" spans="1:15" x14ac:dyDescent="0.3">
      <c r="A61">
        <v>60</v>
      </c>
      <c r="B61" t="s">
        <v>249</v>
      </c>
      <c r="C61" t="s">
        <v>199</v>
      </c>
      <c r="D61" t="s">
        <v>17</v>
      </c>
      <c r="E61" t="s">
        <v>236</v>
      </c>
      <c r="F61" t="s">
        <v>19</v>
      </c>
      <c r="G61">
        <v>17.68</v>
      </c>
      <c r="H61">
        <v>4.2</v>
      </c>
      <c r="I61">
        <v>22757</v>
      </c>
      <c r="J61">
        <v>60</v>
      </c>
      <c r="K61" t="s">
        <v>200</v>
      </c>
      <c r="L61">
        <v>2015</v>
      </c>
      <c r="M61" t="s">
        <v>250</v>
      </c>
      <c r="N61">
        <v>1300</v>
      </c>
      <c r="O61" t="s">
        <v>22</v>
      </c>
    </row>
    <row r="62" spans="1:15" x14ac:dyDescent="0.3">
      <c r="A62">
        <v>61</v>
      </c>
      <c r="B62" t="s">
        <v>251</v>
      </c>
      <c r="C62" t="s">
        <v>252</v>
      </c>
      <c r="D62" t="s">
        <v>17</v>
      </c>
      <c r="E62" t="s">
        <v>236</v>
      </c>
      <c r="F62" t="s">
        <v>19</v>
      </c>
      <c r="G62">
        <v>9.61</v>
      </c>
      <c r="H62">
        <v>4</v>
      </c>
      <c r="I62">
        <v>15908</v>
      </c>
      <c r="J62">
        <v>52</v>
      </c>
      <c r="K62" t="s">
        <v>92</v>
      </c>
      <c r="L62">
        <v>2015</v>
      </c>
      <c r="M62" t="s">
        <v>253</v>
      </c>
      <c r="N62">
        <v>359</v>
      </c>
      <c r="O62" t="s">
        <v>22</v>
      </c>
    </row>
    <row r="63" spans="1:15" x14ac:dyDescent="0.3">
      <c r="A63">
        <v>62</v>
      </c>
      <c r="B63" t="s">
        <v>254</v>
      </c>
      <c r="C63" t="s">
        <v>255</v>
      </c>
      <c r="D63" t="s">
        <v>25</v>
      </c>
      <c r="E63" t="s">
        <v>101</v>
      </c>
      <c r="F63" t="s">
        <v>243</v>
      </c>
      <c r="G63">
        <v>27.38</v>
      </c>
      <c r="H63">
        <v>4</v>
      </c>
      <c r="I63">
        <v>16783</v>
      </c>
      <c r="J63">
        <v>36</v>
      </c>
      <c r="K63" t="s">
        <v>209</v>
      </c>
      <c r="L63">
        <v>2026</v>
      </c>
      <c r="M63" t="s">
        <v>256</v>
      </c>
      <c r="N63">
        <v>3888</v>
      </c>
      <c r="O63" t="s">
        <v>22</v>
      </c>
    </row>
    <row r="64" spans="1:15" x14ac:dyDescent="0.3">
      <c r="A64">
        <v>63</v>
      </c>
      <c r="B64" t="s">
        <v>257</v>
      </c>
      <c r="C64" t="s">
        <v>258</v>
      </c>
      <c r="D64" t="s">
        <v>25</v>
      </c>
      <c r="E64" t="s">
        <v>259</v>
      </c>
      <c r="F64" t="s">
        <v>260</v>
      </c>
      <c r="G64">
        <v>13.96</v>
      </c>
      <c r="H64">
        <v>4.5999999999999996</v>
      </c>
      <c r="I64">
        <v>24524</v>
      </c>
      <c r="J64">
        <v>41</v>
      </c>
      <c r="K64" t="s">
        <v>261</v>
      </c>
      <c r="L64">
        <v>2019</v>
      </c>
      <c r="M64" t="s">
        <v>262</v>
      </c>
      <c r="N64">
        <v>2374</v>
      </c>
      <c r="O64" t="s">
        <v>22</v>
      </c>
    </row>
    <row r="65" spans="1:15" x14ac:dyDescent="0.3">
      <c r="A65">
        <v>64</v>
      </c>
      <c r="B65" t="s">
        <v>263</v>
      </c>
      <c r="C65" t="s">
        <v>264</v>
      </c>
      <c r="D65" t="s">
        <v>25</v>
      </c>
      <c r="E65" t="s">
        <v>259</v>
      </c>
      <c r="F65" t="s">
        <v>37</v>
      </c>
      <c r="G65">
        <v>24.52</v>
      </c>
      <c r="H65">
        <v>4.5999999999999996</v>
      </c>
      <c r="I65">
        <v>48995</v>
      </c>
      <c r="J65">
        <v>13</v>
      </c>
      <c r="K65" t="s">
        <v>20</v>
      </c>
      <c r="L65">
        <v>2015</v>
      </c>
      <c r="M65" t="s">
        <v>265</v>
      </c>
      <c r="N65">
        <v>1210</v>
      </c>
      <c r="O65" t="s">
        <v>22</v>
      </c>
    </row>
    <row r="66" spans="1:15" x14ac:dyDescent="0.3">
      <c r="A66">
        <v>65</v>
      </c>
      <c r="B66" t="s">
        <v>266</v>
      </c>
      <c r="C66" t="s">
        <v>267</v>
      </c>
      <c r="D66" t="s">
        <v>25</v>
      </c>
      <c r="E66" t="s">
        <v>268</v>
      </c>
      <c r="F66" t="s">
        <v>260</v>
      </c>
      <c r="G66">
        <v>14.01</v>
      </c>
      <c r="H66">
        <v>4.3</v>
      </c>
      <c r="I66">
        <v>37524</v>
      </c>
      <c r="J66">
        <v>28</v>
      </c>
      <c r="K66" t="s">
        <v>189</v>
      </c>
      <c r="L66">
        <v>2015</v>
      </c>
      <c r="M66" t="s">
        <v>269</v>
      </c>
      <c r="N66">
        <v>3855</v>
      </c>
      <c r="O66" t="s">
        <v>22</v>
      </c>
    </row>
    <row r="67" spans="1:15" x14ac:dyDescent="0.3">
      <c r="A67">
        <v>66</v>
      </c>
      <c r="B67" t="s">
        <v>270</v>
      </c>
      <c r="C67" t="s">
        <v>231</v>
      </c>
      <c r="D67" t="s">
        <v>17</v>
      </c>
      <c r="E67" t="s">
        <v>232</v>
      </c>
      <c r="F67" t="s">
        <v>37</v>
      </c>
      <c r="G67">
        <v>18.510000000000002</v>
      </c>
      <c r="H67">
        <v>3.7</v>
      </c>
      <c r="I67">
        <v>3971</v>
      </c>
      <c r="J67">
        <v>7</v>
      </c>
      <c r="K67" t="s">
        <v>271</v>
      </c>
      <c r="L67">
        <v>2019</v>
      </c>
      <c r="M67" t="s">
        <v>272</v>
      </c>
      <c r="N67">
        <v>1243</v>
      </c>
      <c r="O67" t="s">
        <v>22</v>
      </c>
    </row>
    <row r="68" spans="1:15" x14ac:dyDescent="0.3">
      <c r="A68">
        <v>67</v>
      </c>
      <c r="B68" t="s">
        <v>273</v>
      </c>
      <c r="C68" t="s">
        <v>223</v>
      </c>
      <c r="D68" t="s">
        <v>17</v>
      </c>
      <c r="E68" t="s">
        <v>224</v>
      </c>
      <c r="F68" t="s">
        <v>260</v>
      </c>
      <c r="G68">
        <v>13.98</v>
      </c>
      <c r="H68">
        <v>4.7</v>
      </c>
      <c r="I68">
        <v>36682</v>
      </c>
      <c r="J68">
        <v>46</v>
      </c>
      <c r="K68" t="s">
        <v>189</v>
      </c>
      <c r="L68">
        <v>2020</v>
      </c>
      <c r="M68" t="s">
        <v>274</v>
      </c>
      <c r="N68">
        <v>884</v>
      </c>
      <c r="O68" t="s">
        <v>22</v>
      </c>
    </row>
    <row r="69" spans="1:15" x14ac:dyDescent="0.3">
      <c r="A69">
        <v>68</v>
      </c>
      <c r="B69" t="s">
        <v>275</v>
      </c>
      <c r="C69" t="s">
        <v>276</v>
      </c>
      <c r="D69" t="s">
        <v>25</v>
      </c>
      <c r="E69" t="s">
        <v>277</v>
      </c>
      <c r="F69" t="s">
        <v>247</v>
      </c>
      <c r="G69">
        <v>11.09</v>
      </c>
      <c r="H69">
        <v>4.5999999999999996</v>
      </c>
      <c r="I69">
        <v>40058</v>
      </c>
      <c r="J69">
        <v>5</v>
      </c>
      <c r="K69" t="s">
        <v>209</v>
      </c>
      <c r="L69">
        <v>2019</v>
      </c>
      <c r="M69" t="s">
        <v>278</v>
      </c>
      <c r="N69">
        <v>1036</v>
      </c>
      <c r="O69" t="s">
        <v>22</v>
      </c>
    </row>
    <row r="70" spans="1:15" x14ac:dyDescent="0.3">
      <c r="A70">
        <v>69</v>
      </c>
      <c r="B70" t="s">
        <v>279</v>
      </c>
      <c r="C70" t="s">
        <v>280</v>
      </c>
      <c r="D70" t="s">
        <v>17</v>
      </c>
      <c r="E70" t="s">
        <v>188</v>
      </c>
      <c r="F70" t="s">
        <v>247</v>
      </c>
      <c r="G70">
        <v>8.2799999999999994</v>
      </c>
      <c r="H70">
        <v>4.5</v>
      </c>
      <c r="I70">
        <v>8146</v>
      </c>
      <c r="J70">
        <v>33</v>
      </c>
      <c r="K70" t="s">
        <v>281</v>
      </c>
      <c r="L70">
        <v>2022</v>
      </c>
      <c r="M70" t="s">
        <v>282</v>
      </c>
      <c r="N70">
        <v>3890</v>
      </c>
      <c r="O70" t="s">
        <v>22</v>
      </c>
    </row>
    <row r="71" spans="1:15" x14ac:dyDescent="0.3">
      <c r="A71">
        <v>70</v>
      </c>
      <c r="B71" t="s">
        <v>283</v>
      </c>
      <c r="C71" t="s">
        <v>284</v>
      </c>
      <c r="D71" t="s">
        <v>25</v>
      </c>
      <c r="E71" t="s">
        <v>285</v>
      </c>
      <c r="F71" t="s">
        <v>19</v>
      </c>
      <c r="G71">
        <v>14.69</v>
      </c>
      <c r="H71">
        <v>4.0999999999999996</v>
      </c>
      <c r="I71">
        <v>36937</v>
      </c>
      <c r="J71">
        <v>50</v>
      </c>
      <c r="K71" t="s">
        <v>286</v>
      </c>
      <c r="L71">
        <v>2020</v>
      </c>
      <c r="M71" t="s">
        <v>287</v>
      </c>
      <c r="N71">
        <v>5099</v>
      </c>
      <c r="O71" t="s">
        <v>22</v>
      </c>
    </row>
    <row r="72" spans="1:15" x14ac:dyDescent="0.3">
      <c r="A72">
        <v>71</v>
      </c>
      <c r="B72" t="s">
        <v>288</v>
      </c>
      <c r="C72" t="s">
        <v>289</v>
      </c>
      <c r="D72" t="s">
        <v>17</v>
      </c>
      <c r="E72" t="s">
        <v>18</v>
      </c>
      <c r="F72" t="s">
        <v>19</v>
      </c>
      <c r="G72">
        <v>11.28</v>
      </c>
      <c r="H72">
        <v>4.8</v>
      </c>
      <c r="I72">
        <v>32081</v>
      </c>
      <c r="J72">
        <v>9</v>
      </c>
      <c r="K72" t="s">
        <v>290</v>
      </c>
      <c r="L72">
        <v>2015</v>
      </c>
      <c r="M72" t="s">
        <v>291</v>
      </c>
      <c r="N72">
        <v>1207</v>
      </c>
      <c r="O72" t="s">
        <v>22</v>
      </c>
    </row>
    <row r="73" spans="1:15" x14ac:dyDescent="0.3">
      <c r="A73">
        <v>72</v>
      </c>
      <c r="B73" t="s">
        <v>292</v>
      </c>
      <c r="C73" t="s">
        <v>104</v>
      </c>
      <c r="D73" t="s">
        <v>25</v>
      </c>
      <c r="E73" t="s">
        <v>36</v>
      </c>
      <c r="F73" t="s">
        <v>37</v>
      </c>
      <c r="G73">
        <v>19</v>
      </c>
      <c r="H73">
        <v>4.3</v>
      </c>
      <c r="I73">
        <v>32600</v>
      </c>
      <c r="J73">
        <v>19</v>
      </c>
      <c r="K73" t="s">
        <v>106</v>
      </c>
      <c r="L73">
        <v>2025</v>
      </c>
      <c r="M73" t="s">
        <v>293</v>
      </c>
      <c r="N73">
        <v>4847</v>
      </c>
      <c r="O73" t="s">
        <v>22</v>
      </c>
    </row>
    <row r="74" spans="1:15" x14ac:dyDescent="0.3">
      <c r="A74">
        <v>73</v>
      </c>
      <c r="B74" t="s">
        <v>294</v>
      </c>
      <c r="C74" t="s">
        <v>295</v>
      </c>
      <c r="D74" t="s">
        <v>25</v>
      </c>
      <c r="E74" t="s">
        <v>296</v>
      </c>
      <c r="F74" t="s">
        <v>37</v>
      </c>
      <c r="G74">
        <v>22.2</v>
      </c>
      <c r="H74">
        <v>4.5999999999999996</v>
      </c>
      <c r="I74">
        <v>3009</v>
      </c>
      <c r="J74">
        <v>10</v>
      </c>
      <c r="K74" t="s">
        <v>164</v>
      </c>
      <c r="L74">
        <v>2025</v>
      </c>
      <c r="M74" t="s">
        <v>297</v>
      </c>
      <c r="N74">
        <v>1435</v>
      </c>
      <c r="O74" t="s">
        <v>22</v>
      </c>
    </row>
    <row r="75" spans="1:15" x14ac:dyDescent="0.3">
      <c r="A75">
        <v>74</v>
      </c>
      <c r="B75" t="s">
        <v>298</v>
      </c>
      <c r="C75" t="s">
        <v>223</v>
      </c>
      <c r="D75" t="s">
        <v>17</v>
      </c>
      <c r="E75" t="s">
        <v>299</v>
      </c>
      <c r="F75" t="s">
        <v>37</v>
      </c>
      <c r="G75">
        <v>19.79</v>
      </c>
      <c r="H75">
        <v>4.7</v>
      </c>
      <c r="I75">
        <v>34577</v>
      </c>
      <c r="J75">
        <v>12</v>
      </c>
      <c r="K75" t="s">
        <v>48</v>
      </c>
      <c r="L75">
        <v>2020</v>
      </c>
      <c r="M75" t="s">
        <v>300</v>
      </c>
      <c r="N75">
        <v>4134</v>
      </c>
      <c r="O75" t="s">
        <v>22</v>
      </c>
    </row>
    <row r="76" spans="1:15" x14ac:dyDescent="0.3">
      <c r="A76">
        <v>75</v>
      </c>
      <c r="B76" t="s">
        <v>301</v>
      </c>
      <c r="C76" t="s">
        <v>302</v>
      </c>
      <c r="D76" t="s">
        <v>17</v>
      </c>
      <c r="E76" t="s">
        <v>18</v>
      </c>
      <c r="F76" t="s">
        <v>19</v>
      </c>
      <c r="G76">
        <v>15.71</v>
      </c>
      <c r="H76">
        <v>4.5</v>
      </c>
      <c r="I76">
        <v>47115</v>
      </c>
      <c r="J76">
        <v>19</v>
      </c>
      <c r="K76" t="s">
        <v>303</v>
      </c>
      <c r="L76">
        <v>2022</v>
      </c>
      <c r="M76" t="s">
        <v>304</v>
      </c>
      <c r="N76">
        <v>3723</v>
      </c>
      <c r="O76" t="s">
        <v>22</v>
      </c>
    </row>
    <row r="77" spans="1:15" x14ac:dyDescent="0.3">
      <c r="A77">
        <v>76</v>
      </c>
      <c r="B77" t="s">
        <v>305</v>
      </c>
      <c r="C77" t="s">
        <v>235</v>
      </c>
      <c r="D77" t="s">
        <v>17</v>
      </c>
      <c r="E77" t="s">
        <v>58</v>
      </c>
      <c r="F77" t="s">
        <v>37</v>
      </c>
      <c r="G77">
        <v>18.37</v>
      </c>
      <c r="H77">
        <v>4.5999999999999996</v>
      </c>
      <c r="I77">
        <v>29552</v>
      </c>
      <c r="J77">
        <v>42</v>
      </c>
      <c r="K77" t="s">
        <v>290</v>
      </c>
      <c r="L77">
        <v>2021</v>
      </c>
      <c r="M77" t="s">
        <v>306</v>
      </c>
      <c r="N77">
        <v>1967</v>
      </c>
      <c r="O77" t="s">
        <v>22</v>
      </c>
    </row>
    <row r="78" spans="1:15" x14ac:dyDescent="0.3">
      <c r="A78">
        <v>77</v>
      </c>
      <c r="B78" t="s">
        <v>307</v>
      </c>
      <c r="C78" t="s">
        <v>308</v>
      </c>
      <c r="D78" t="s">
        <v>25</v>
      </c>
      <c r="E78" t="s">
        <v>268</v>
      </c>
      <c r="F78" t="s">
        <v>19</v>
      </c>
      <c r="G78">
        <v>14.41</v>
      </c>
      <c r="H78">
        <v>4.4000000000000004</v>
      </c>
      <c r="I78">
        <v>12609</v>
      </c>
      <c r="J78">
        <v>54</v>
      </c>
      <c r="K78" t="s">
        <v>82</v>
      </c>
      <c r="L78">
        <v>2024</v>
      </c>
      <c r="M78" t="s">
        <v>309</v>
      </c>
      <c r="N78">
        <v>5421</v>
      </c>
      <c r="O78" t="s">
        <v>22</v>
      </c>
    </row>
    <row r="79" spans="1:15" x14ac:dyDescent="0.3">
      <c r="A79">
        <v>78</v>
      </c>
      <c r="B79" t="s">
        <v>310</v>
      </c>
      <c r="C79" t="s">
        <v>167</v>
      </c>
      <c r="D79" t="s">
        <v>17</v>
      </c>
      <c r="E79" t="s">
        <v>311</v>
      </c>
      <c r="F79" t="s">
        <v>19</v>
      </c>
      <c r="G79">
        <v>13.06</v>
      </c>
      <c r="H79">
        <v>4</v>
      </c>
      <c r="I79">
        <v>4728</v>
      </c>
      <c r="J79">
        <v>28</v>
      </c>
      <c r="K79" t="s">
        <v>312</v>
      </c>
      <c r="L79">
        <v>2025</v>
      </c>
      <c r="M79" t="s">
        <v>313</v>
      </c>
      <c r="N79">
        <v>3305</v>
      </c>
      <c r="O79" t="s">
        <v>22</v>
      </c>
    </row>
    <row r="80" spans="1:15" x14ac:dyDescent="0.3">
      <c r="A80">
        <v>79</v>
      </c>
      <c r="B80" t="s">
        <v>314</v>
      </c>
      <c r="C80" t="s">
        <v>315</v>
      </c>
      <c r="D80" t="s">
        <v>25</v>
      </c>
      <c r="E80" t="s">
        <v>101</v>
      </c>
      <c r="F80" t="s">
        <v>37</v>
      </c>
      <c r="G80">
        <v>17.5</v>
      </c>
      <c r="H80">
        <v>4.2</v>
      </c>
      <c r="I80">
        <v>35345</v>
      </c>
      <c r="J80">
        <v>38</v>
      </c>
      <c r="K80" t="s">
        <v>77</v>
      </c>
      <c r="L80">
        <v>2023</v>
      </c>
      <c r="M80" t="s">
        <v>316</v>
      </c>
      <c r="N80">
        <v>2929</v>
      </c>
      <c r="O80" t="s">
        <v>22</v>
      </c>
    </row>
    <row r="81" spans="1:15" x14ac:dyDescent="0.3">
      <c r="A81">
        <v>80</v>
      </c>
      <c r="B81" t="s">
        <v>317</v>
      </c>
      <c r="C81" t="s">
        <v>318</v>
      </c>
      <c r="D81" t="s">
        <v>17</v>
      </c>
      <c r="E81" t="s">
        <v>81</v>
      </c>
      <c r="F81" t="s">
        <v>243</v>
      </c>
      <c r="G81">
        <v>21.19</v>
      </c>
      <c r="H81">
        <v>3.7</v>
      </c>
      <c r="I81">
        <v>43995</v>
      </c>
      <c r="J81">
        <v>49</v>
      </c>
      <c r="K81" t="s">
        <v>213</v>
      </c>
      <c r="L81">
        <v>2024</v>
      </c>
      <c r="M81" t="s">
        <v>319</v>
      </c>
      <c r="N81">
        <v>3245</v>
      </c>
      <c r="O81" t="s">
        <v>22</v>
      </c>
    </row>
    <row r="82" spans="1:15" x14ac:dyDescent="0.3">
      <c r="A82">
        <v>81</v>
      </c>
      <c r="B82" t="s">
        <v>320</v>
      </c>
      <c r="C82" t="s">
        <v>321</v>
      </c>
      <c r="D82" t="s">
        <v>17</v>
      </c>
      <c r="E82" t="s">
        <v>195</v>
      </c>
      <c r="F82" t="s">
        <v>19</v>
      </c>
      <c r="G82">
        <v>17.989999999999998</v>
      </c>
      <c r="H82">
        <v>4.5</v>
      </c>
      <c r="I82">
        <v>7628</v>
      </c>
      <c r="J82">
        <v>37</v>
      </c>
      <c r="K82" t="s">
        <v>322</v>
      </c>
      <c r="L82">
        <v>2025</v>
      </c>
      <c r="M82" t="s">
        <v>323</v>
      </c>
      <c r="N82">
        <v>5224</v>
      </c>
      <c r="O82" t="s">
        <v>22</v>
      </c>
    </row>
    <row r="83" spans="1:15" x14ac:dyDescent="0.3">
      <c r="A83">
        <v>82</v>
      </c>
      <c r="B83" t="s">
        <v>324</v>
      </c>
      <c r="C83" t="s">
        <v>325</v>
      </c>
      <c r="D83" t="s">
        <v>17</v>
      </c>
      <c r="E83" t="s">
        <v>224</v>
      </c>
      <c r="F83" t="s">
        <v>37</v>
      </c>
      <c r="G83">
        <v>21.01</v>
      </c>
      <c r="H83">
        <v>4.5999999999999996</v>
      </c>
      <c r="I83">
        <v>31737</v>
      </c>
      <c r="J83">
        <v>58</v>
      </c>
      <c r="K83" t="s">
        <v>326</v>
      </c>
      <c r="L83">
        <v>2017</v>
      </c>
      <c r="M83" t="s">
        <v>327</v>
      </c>
      <c r="N83">
        <v>3292</v>
      </c>
      <c r="O83" t="s">
        <v>22</v>
      </c>
    </row>
    <row r="84" spans="1:15" x14ac:dyDescent="0.3">
      <c r="A84">
        <v>83</v>
      </c>
      <c r="B84" t="s">
        <v>328</v>
      </c>
      <c r="C84" t="s">
        <v>212</v>
      </c>
      <c r="D84" t="s">
        <v>25</v>
      </c>
      <c r="E84" t="s">
        <v>228</v>
      </c>
      <c r="F84" t="s">
        <v>247</v>
      </c>
      <c r="G84">
        <v>6.45</v>
      </c>
      <c r="H84">
        <v>4.5</v>
      </c>
      <c r="I84">
        <v>29670</v>
      </c>
      <c r="J84">
        <v>10</v>
      </c>
      <c r="K84" t="s">
        <v>144</v>
      </c>
      <c r="L84">
        <v>2026</v>
      </c>
      <c r="M84" t="s">
        <v>329</v>
      </c>
      <c r="N84">
        <v>602</v>
      </c>
      <c r="O84" t="s">
        <v>22</v>
      </c>
    </row>
    <row r="85" spans="1:15" x14ac:dyDescent="0.3">
      <c r="A85">
        <v>84</v>
      </c>
      <c r="B85" t="s">
        <v>330</v>
      </c>
      <c r="C85" t="s">
        <v>246</v>
      </c>
      <c r="D85" t="s">
        <v>25</v>
      </c>
      <c r="E85" t="s">
        <v>126</v>
      </c>
      <c r="F85" t="s">
        <v>243</v>
      </c>
      <c r="G85">
        <v>24.44</v>
      </c>
      <c r="H85">
        <v>4.3</v>
      </c>
      <c r="I85">
        <v>10095</v>
      </c>
      <c r="J85">
        <v>53</v>
      </c>
      <c r="K85" t="s">
        <v>200</v>
      </c>
      <c r="L85">
        <v>2024</v>
      </c>
      <c r="M85" t="s">
        <v>331</v>
      </c>
      <c r="N85">
        <v>2264</v>
      </c>
      <c r="O85" t="s">
        <v>22</v>
      </c>
    </row>
    <row r="86" spans="1:15" x14ac:dyDescent="0.3">
      <c r="A86">
        <v>85</v>
      </c>
      <c r="B86" t="s">
        <v>332</v>
      </c>
      <c r="C86" t="s">
        <v>333</v>
      </c>
      <c r="D86" t="s">
        <v>17</v>
      </c>
      <c r="E86" t="s">
        <v>334</v>
      </c>
      <c r="F86" t="s">
        <v>19</v>
      </c>
      <c r="G86">
        <v>16.52</v>
      </c>
      <c r="H86">
        <v>4.0999999999999996</v>
      </c>
      <c r="I86">
        <v>42415</v>
      </c>
      <c r="J86">
        <v>37</v>
      </c>
      <c r="K86" t="s">
        <v>335</v>
      </c>
      <c r="L86">
        <v>2023</v>
      </c>
      <c r="M86" t="s">
        <v>336</v>
      </c>
      <c r="N86">
        <v>5206</v>
      </c>
      <c r="O86" t="s">
        <v>22</v>
      </c>
    </row>
    <row r="87" spans="1:15" x14ac:dyDescent="0.3">
      <c r="A87">
        <v>86</v>
      </c>
      <c r="B87" t="s">
        <v>337</v>
      </c>
      <c r="C87" t="s">
        <v>338</v>
      </c>
      <c r="D87" t="s">
        <v>25</v>
      </c>
      <c r="E87" t="s">
        <v>47</v>
      </c>
      <c r="F87" t="s">
        <v>243</v>
      </c>
      <c r="G87">
        <v>15.86</v>
      </c>
      <c r="H87">
        <v>4.4000000000000004</v>
      </c>
      <c r="I87">
        <v>26354</v>
      </c>
      <c r="J87">
        <v>28</v>
      </c>
      <c r="K87" t="s">
        <v>59</v>
      </c>
      <c r="L87">
        <v>2019</v>
      </c>
      <c r="M87" t="s">
        <v>339</v>
      </c>
      <c r="N87">
        <v>5554</v>
      </c>
      <c r="O87" t="s">
        <v>22</v>
      </c>
    </row>
    <row r="88" spans="1:15" x14ac:dyDescent="0.3">
      <c r="A88">
        <v>87</v>
      </c>
      <c r="B88" t="s">
        <v>340</v>
      </c>
      <c r="C88" t="s">
        <v>341</v>
      </c>
      <c r="D88" t="s">
        <v>25</v>
      </c>
      <c r="E88" t="s">
        <v>285</v>
      </c>
      <c r="F88" t="s">
        <v>247</v>
      </c>
      <c r="G88">
        <v>8.11</v>
      </c>
      <c r="H88">
        <v>4.4000000000000004</v>
      </c>
      <c r="I88">
        <v>14072</v>
      </c>
      <c r="J88">
        <v>7</v>
      </c>
      <c r="K88" t="s">
        <v>27</v>
      </c>
      <c r="L88">
        <v>2020</v>
      </c>
      <c r="M88" t="s">
        <v>342</v>
      </c>
      <c r="N88">
        <v>4052</v>
      </c>
      <c r="O88" t="s">
        <v>22</v>
      </c>
    </row>
    <row r="89" spans="1:15" x14ac:dyDescent="0.3">
      <c r="A89">
        <v>88</v>
      </c>
      <c r="B89" t="s">
        <v>343</v>
      </c>
      <c r="C89" t="s">
        <v>344</v>
      </c>
      <c r="D89" t="s">
        <v>17</v>
      </c>
      <c r="E89" t="s">
        <v>224</v>
      </c>
      <c r="F89" t="s">
        <v>19</v>
      </c>
      <c r="G89">
        <v>10.67</v>
      </c>
      <c r="H89">
        <v>4.5</v>
      </c>
      <c r="I89">
        <v>46355</v>
      </c>
      <c r="J89">
        <v>36</v>
      </c>
      <c r="K89" t="s">
        <v>345</v>
      </c>
      <c r="L89">
        <v>2020</v>
      </c>
      <c r="M89" t="s">
        <v>346</v>
      </c>
      <c r="N89">
        <v>822</v>
      </c>
      <c r="O89" t="s">
        <v>22</v>
      </c>
    </row>
    <row r="90" spans="1:15" x14ac:dyDescent="0.3">
      <c r="A90">
        <v>89</v>
      </c>
      <c r="B90" t="s">
        <v>347</v>
      </c>
      <c r="C90" t="s">
        <v>348</v>
      </c>
      <c r="D90" t="s">
        <v>17</v>
      </c>
      <c r="E90" t="s">
        <v>224</v>
      </c>
      <c r="F90" t="s">
        <v>37</v>
      </c>
      <c r="G90">
        <v>26.44</v>
      </c>
      <c r="H90">
        <v>4.7</v>
      </c>
      <c r="I90">
        <v>29504</v>
      </c>
      <c r="J90">
        <v>22</v>
      </c>
      <c r="K90" t="s">
        <v>349</v>
      </c>
      <c r="L90">
        <v>2024</v>
      </c>
      <c r="M90" t="s">
        <v>350</v>
      </c>
      <c r="N90">
        <v>3154</v>
      </c>
      <c r="O90" t="s">
        <v>22</v>
      </c>
    </row>
    <row r="91" spans="1:15" x14ac:dyDescent="0.3">
      <c r="A91">
        <v>90</v>
      </c>
      <c r="B91" t="s">
        <v>351</v>
      </c>
      <c r="C91" t="s">
        <v>352</v>
      </c>
      <c r="D91" t="s">
        <v>17</v>
      </c>
      <c r="E91" t="s">
        <v>299</v>
      </c>
      <c r="F91" t="s">
        <v>37</v>
      </c>
      <c r="G91">
        <v>29.32</v>
      </c>
      <c r="H91">
        <v>4.2</v>
      </c>
      <c r="I91">
        <v>25380</v>
      </c>
      <c r="J91">
        <v>33</v>
      </c>
      <c r="K91" t="s">
        <v>353</v>
      </c>
      <c r="L91">
        <v>2025</v>
      </c>
      <c r="M91" t="s">
        <v>354</v>
      </c>
      <c r="N91">
        <v>2755</v>
      </c>
      <c r="O91" t="s">
        <v>22</v>
      </c>
    </row>
    <row r="92" spans="1:15" x14ac:dyDescent="0.3">
      <c r="A92">
        <v>91</v>
      </c>
      <c r="B92" t="s">
        <v>355</v>
      </c>
      <c r="C92" t="s">
        <v>255</v>
      </c>
      <c r="D92" t="s">
        <v>25</v>
      </c>
      <c r="E92" t="s">
        <v>105</v>
      </c>
      <c r="F92" t="s">
        <v>19</v>
      </c>
      <c r="G92">
        <v>17.239999999999998</v>
      </c>
      <c r="H92">
        <v>4.3</v>
      </c>
      <c r="I92">
        <v>5853</v>
      </c>
      <c r="J92">
        <v>33</v>
      </c>
      <c r="K92" t="s">
        <v>335</v>
      </c>
      <c r="L92">
        <v>2017</v>
      </c>
      <c r="M92" t="s">
        <v>356</v>
      </c>
      <c r="N92">
        <v>5652</v>
      </c>
      <c r="O92" t="s">
        <v>22</v>
      </c>
    </row>
    <row r="93" spans="1:15" x14ac:dyDescent="0.3">
      <c r="A93">
        <v>92</v>
      </c>
      <c r="B93" t="s">
        <v>357</v>
      </c>
      <c r="C93" t="s">
        <v>358</v>
      </c>
      <c r="D93" t="s">
        <v>25</v>
      </c>
      <c r="E93" t="s">
        <v>359</v>
      </c>
      <c r="F93" t="s">
        <v>247</v>
      </c>
      <c r="G93">
        <v>4.2300000000000004</v>
      </c>
      <c r="H93">
        <v>4.4000000000000004</v>
      </c>
      <c r="I93">
        <v>37308</v>
      </c>
      <c r="J93">
        <v>41</v>
      </c>
      <c r="K93" t="s">
        <v>360</v>
      </c>
      <c r="L93">
        <v>2020</v>
      </c>
      <c r="M93" t="s">
        <v>361</v>
      </c>
      <c r="N93">
        <v>2717</v>
      </c>
      <c r="O93" t="s">
        <v>22</v>
      </c>
    </row>
    <row r="94" spans="1:15" x14ac:dyDescent="0.3">
      <c r="A94">
        <v>93</v>
      </c>
      <c r="B94" t="s">
        <v>362</v>
      </c>
      <c r="C94" t="s">
        <v>363</v>
      </c>
      <c r="D94" t="s">
        <v>25</v>
      </c>
      <c r="E94" t="s">
        <v>359</v>
      </c>
      <c r="F94" t="s">
        <v>37</v>
      </c>
      <c r="G94">
        <v>24.63</v>
      </c>
      <c r="H94">
        <v>4.4000000000000004</v>
      </c>
      <c r="I94">
        <v>33955</v>
      </c>
      <c r="J94">
        <v>60</v>
      </c>
      <c r="K94" t="s">
        <v>48</v>
      </c>
      <c r="L94">
        <v>2013</v>
      </c>
      <c r="M94" t="s">
        <v>364</v>
      </c>
      <c r="N94">
        <v>1512</v>
      </c>
      <c r="O94" t="s">
        <v>22</v>
      </c>
    </row>
    <row r="95" spans="1:15" x14ac:dyDescent="0.3">
      <c r="A95">
        <v>94</v>
      </c>
      <c r="B95" t="s">
        <v>365</v>
      </c>
      <c r="C95" t="s">
        <v>366</v>
      </c>
      <c r="D95" t="s">
        <v>17</v>
      </c>
      <c r="E95" t="s">
        <v>334</v>
      </c>
      <c r="F95" t="s">
        <v>19</v>
      </c>
      <c r="G95">
        <v>14.76</v>
      </c>
      <c r="H95">
        <v>4.3</v>
      </c>
      <c r="I95">
        <v>39784</v>
      </c>
      <c r="J95">
        <v>42</v>
      </c>
      <c r="K95" t="s">
        <v>303</v>
      </c>
      <c r="L95">
        <v>2017</v>
      </c>
      <c r="M95" t="s">
        <v>367</v>
      </c>
      <c r="N95">
        <v>525</v>
      </c>
      <c r="O95" t="s">
        <v>22</v>
      </c>
    </row>
    <row r="96" spans="1:15" x14ac:dyDescent="0.3">
      <c r="A96">
        <v>95</v>
      </c>
      <c r="B96" t="s">
        <v>368</v>
      </c>
      <c r="C96" t="s">
        <v>369</v>
      </c>
      <c r="D96" t="s">
        <v>25</v>
      </c>
      <c r="E96" t="s">
        <v>370</v>
      </c>
      <c r="F96" t="s">
        <v>37</v>
      </c>
      <c r="G96">
        <v>22.89</v>
      </c>
      <c r="H96">
        <v>4.3</v>
      </c>
      <c r="I96">
        <v>28238</v>
      </c>
      <c r="J96">
        <v>35</v>
      </c>
      <c r="K96" t="s">
        <v>54</v>
      </c>
      <c r="L96">
        <v>2022</v>
      </c>
      <c r="M96" t="s">
        <v>371</v>
      </c>
      <c r="N96">
        <v>3019</v>
      </c>
      <c r="O96" t="s">
        <v>22</v>
      </c>
    </row>
    <row r="97" spans="1:15" x14ac:dyDescent="0.3">
      <c r="A97">
        <v>96</v>
      </c>
      <c r="B97" t="s">
        <v>372</v>
      </c>
      <c r="C97" t="s">
        <v>373</v>
      </c>
      <c r="D97" t="s">
        <v>25</v>
      </c>
      <c r="E97" t="s">
        <v>268</v>
      </c>
      <c r="F97" t="s">
        <v>19</v>
      </c>
      <c r="G97">
        <v>17.5</v>
      </c>
      <c r="H97">
        <v>4.3</v>
      </c>
      <c r="I97">
        <v>41329</v>
      </c>
      <c r="J97">
        <v>31</v>
      </c>
      <c r="K97" t="s">
        <v>32</v>
      </c>
      <c r="L97">
        <v>2018</v>
      </c>
      <c r="M97" t="s">
        <v>374</v>
      </c>
      <c r="N97">
        <v>1747</v>
      </c>
      <c r="O97" t="s">
        <v>22</v>
      </c>
    </row>
    <row r="98" spans="1:15" x14ac:dyDescent="0.3">
      <c r="A98">
        <v>97</v>
      </c>
      <c r="B98" t="s">
        <v>375</v>
      </c>
      <c r="C98" t="s">
        <v>376</v>
      </c>
      <c r="D98" t="s">
        <v>25</v>
      </c>
      <c r="E98" t="s">
        <v>105</v>
      </c>
      <c r="F98" t="s">
        <v>19</v>
      </c>
      <c r="G98">
        <v>9.44</v>
      </c>
      <c r="H98">
        <v>3.9</v>
      </c>
      <c r="I98">
        <v>43877</v>
      </c>
      <c r="J98">
        <v>48</v>
      </c>
      <c r="K98" t="s">
        <v>377</v>
      </c>
      <c r="L98">
        <v>2022</v>
      </c>
      <c r="M98" t="s">
        <v>378</v>
      </c>
      <c r="N98">
        <v>2360</v>
      </c>
      <c r="O98" t="s">
        <v>22</v>
      </c>
    </row>
    <row r="99" spans="1:15" x14ac:dyDescent="0.3">
      <c r="A99">
        <v>98</v>
      </c>
      <c r="B99" t="s">
        <v>379</v>
      </c>
      <c r="C99" t="s">
        <v>380</v>
      </c>
      <c r="D99" t="s">
        <v>17</v>
      </c>
      <c r="E99" t="s">
        <v>311</v>
      </c>
      <c r="F99" t="s">
        <v>247</v>
      </c>
      <c r="G99">
        <v>6.51</v>
      </c>
      <c r="H99">
        <v>4.4000000000000004</v>
      </c>
      <c r="I99">
        <v>41844</v>
      </c>
      <c r="J99">
        <v>48</v>
      </c>
      <c r="K99" t="s">
        <v>213</v>
      </c>
      <c r="L99">
        <v>2023</v>
      </c>
      <c r="M99" t="s">
        <v>381</v>
      </c>
      <c r="N99">
        <v>4765</v>
      </c>
      <c r="O99" t="s">
        <v>22</v>
      </c>
    </row>
    <row r="100" spans="1:15" x14ac:dyDescent="0.3">
      <c r="A100">
        <v>99</v>
      </c>
      <c r="B100" t="s">
        <v>382</v>
      </c>
      <c r="C100" t="s">
        <v>352</v>
      </c>
      <c r="D100" t="s">
        <v>17</v>
      </c>
      <c r="E100" t="s">
        <v>232</v>
      </c>
      <c r="F100" t="s">
        <v>37</v>
      </c>
      <c r="G100">
        <v>23.69</v>
      </c>
      <c r="H100">
        <v>4.2</v>
      </c>
      <c r="I100">
        <v>11649</v>
      </c>
      <c r="J100">
        <v>30</v>
      </c>
      <c r="K100" t="s">
        <v>322</v>
      </c>
      <c r="L100">
        <v>2026</v>
      </c>
      <c r="M100" t="s">
        <v>383</v>
      </c>
      <c r="N100">
        <v>4373</v>
      </c>
      <c r="O100" t="s">
        <v>22</v>
      </c>
    </row>
    <row r="101" spans="1:15" x14ac:dyDescent="0.3">
      <c r="A101">
        <v>100</v>
      </c>
      <c r="B101" t="s">
        <v>384</v>
      </c>
      <c r="C101" t="s">
        <v>385</v>
      </c>
      <c r="D101" t="s">
        <v>17</v>
      </c>
      <c r="E101" t="s">
        <v>81</v>
      </c>
      <c r="F101" t="s">
        <v>19</v>
      </c>
      <c r="G101">
        <v>9.4499999999999993</v>
      </c>
      <c r="H101">
        <v>4.7</v>
      </c>
      <c r="I101">
        <v>32486</v>
      </c>
      <c r="J101">
        <v>15</v>
      </c>
      <c r="K101" t="s">
        <v>386</v>
      </c>
      <c r="L101">
        <v>2022</v>
      </c>
      <c r="M101" t="s">
        <v>387</v>
      </c>
      <c r="N101">
        <v>458</v>
      </c>
      <c r="O101" t="s">
        <v>22</v>
      </c>
    </row>
    <row r="102" spans="1:15" x14ac:dyDescent="0.3">
      <c r="A102">
        <v>101</v>
      </c>
      <c r="B102" t="s">
        <v>388</v>
      </c>
      <c r="C102" t="s">
        <v>227</v>
      </c>
      <c r="D102" t="s">
        <v>25</v>
      </c>
      <c r="E102" t="s">
        <v>31</v>
      </c>
      <c r="F102" t="s">
        <v>19</v>
      </c>
      <c r="G102">
        <v>10.86</v>
      </c>
      <c r="H102">
        <v>4.2</v>
      </c>
      <c r="I102">
        <v>8809</v>
      </c>
      <c r="J102">
        <v>14</v>
      </c>
      <c r="K102" t="s">
        <v>130</v>
      </c>
      <c r="L102">
        <v>2020</v>
      </c>
      <c r="M102" t="s">
        <v>389</v>
      </c>
      <c r="N102">
        <v>3104</v>
      </c>
      <c r="O102" t="s">
        <v>22</v>
      </c>
    </row>
    <row r="103" spans="1:15" x14ac:dyDescent="0.3">
      <c r="A103">
        <v>102</v>
      </c>
      <c r="B103" t="s">
        <v>390</v>
      </c>
      <c r="C103" t="s">
        <v>391</v>
      </c>
      <c r="D103" t="s">
        <v>17</v>
      </c>
      <c r="E103" t="s">
        <v>236</v>
      </c>
      <c r="F103" t="s">
        <v>37</v>
      </c>
      <c r="G103">
        <v>24.28</v>
      </c>
      <c r="H103">
        <v>4.7</v>
      </c>
      <c r="I103">
        <v>13231</v>
      </c>
      <c r="J103">
        <v>25</v>
      </c>
      <c r="K103" t="s">
        <v>48</v>
      </c>
      <c r="L103">
        <v>2019</v>
      </c>
      <c r="M103" t="s">
        <v>392</v>
      </c>
      <c r="N103">
        <v>3436</v>
      </c>
      <c r="O103" t="s">
        <v>22</v>
      </c>
    </row>
    <row r="104" spans="1:15" x14ac:dyDescent="0.3">
      <c r="A104">
        <v>103</v>
      </c>
      <c r="B104" t="s">
        <v>393</v>
      </c>
      <c r="C104" t="s">
        <v>394</v>
      </c>
      <c r="D104" t="s">
        <v>25</v>
      </c>
      <c r="E104" t="s">
        <v>73</v>
      </c>
      <c r="F104" t="s">
        <v>37</v>
      </c>
      <c r="G104">
        <v>18.77</v>
      </c>
      <c r="H104">
        <v>4.2</v>
      </c>
      <c r="I104">
        <v>4172</v>
      </c>
      <c r="J104">
        <v>3</v>
      </c>
      <c r="K104" t="s">
        <v>345</v>
      </c>
      <c r="L104">
        <v>2024</v>
      </c>
      <c r="M104" t="s">
        <v>395</v>
      </c>
      <c r="N104">
        <v>1026</v>
      </c>
      <c r="O104" t="s">
        <v>22</v>
      </c>
    </row>
    <row r="105" spans="1:15" x14ac:dyDescent="0.3">
      <c r="A105">
        <v>104</v>
      </c>
      <c r="B105" t="s">
        <v>396</v>
      </c>
      <c r="C105" t="s">
        <v>397</v>
      </c>
      <c r="D105" t="s">
        <v>25</v>
      </c>
      <c r="E105" t="s">
        <v>228</v>
      </c>
      <c r="F105" t="s">
        <v>19</v>
      </c>
      <c r="G105">
        <v>15.91</v>
      </c>
      <c r="H105">
        <v>4.2</v>
      </c>
      <c r="I105">
        <v>10887</v>
      </c>
      <c r="J105">
        <v>20</v>
      </c>
      <c r="K105" t="s">
        <v>322</v>
      </c>
      <c r="L105">
        <v>2018</v>
      </c>
      <c r="M105" t="s">
        <v>398</v>
      </c>
      <c r="N105">
        <v>505</v>
      </c>
      <c r="O105" t="s">
        <v>22</v>
      </c>
    </row>
    <row r="106" spans="1:15" x14ac:dyDescent="0.3">
      <c r="A106">
        <v>105</v>
      </c>
      <c r="B106" t="s">
        <v>399</v>
      </c>
      <c r="C106" t="s">
        <v>286</v>
      </c>
      <c r="D106" t="s">
        <v>17</v>
      </c>
      <c r="E106" t="s">
        <v>188</v>
      </c>
      <c r="F106" t="s">
        <v>243</v>
      </c>
      <c r="G106">
        <v>17.670000000000002</v>
      </c>
      <c r="H106">
        <v>4.2</v>
      </c>
      <c r="I106">
        <v>13451</v>
      </c>
      <c r="J106">
        <v>5</v>
      </c>
      <c r="K106" t="s">
        <v>386</v>
      </c>
      <c r="L106">
        <v>2020</v>
      </c>
      <c r="M106" t="s">
        <v>400</v>
      </c>
      <c r="N106">
        <v>325</v>
      </c>
      <c r="O106" t="s">
        <v>22</v>
      </c>
    </row>
    <row r="107" spans="1:15" x14ac:dyDescent="0.3">
      <c r="A107">
        <v>106</v>
      </c>
      <c r="B107" t="s">
        <v>401</v>
      </c>
      <c r="C107" t="s">
        <v>402</v>
      </c>
      <c r="D107" t="s">
        <v>25</v>
      </c>
      <c r="E107" t="s">
        <v>359</v>
      </c>
      <c r="F107" t="s">
        <v>19</v>
      </c>
      <c r="G107">
        <v>11.22</v>
      </c>
      <c r="H107">
        <v>4.4000000000000004</v>
      </c>
      <c r="I107">
        <v>4472</v>
      </c>
      <c r="J107">
        <v>14</v>
      </c>
      <c r="K107" t="s">
        <v>403</v>
      </c>
      <c r="L107">
        <v>2018</v>
      </c>
      <c r="M107" t="s">
        <v>404</v>
      </c>
      <c r="N107">
        <v>4905</v>
      </c>
      <c r="O107" t="s">
        <v>22</v>
      </c>
    </row>
    <row r="108" spans="1:15" x14ac:dyDescent="0.3">
      <c r="A108">
        <v>107</v>
      </c>
      <c r="B108" t="s">
        <v>405</v>
      </c>
      <c r="C108" t="s">
        <v>406</v>
      </c>
      <c r="D108" t="s">
        <v>25</v>
      </c>
      <c r="E108" t="s">
        <v>228</v>
      </c>
      <c r="F108" t="s">
        <v>37</v>
      </c>
      <c r="G108">
        <v>19.84</v>
      </c>
      <c r="H108">
        <v>4.5</v>
      </c>
      <c r="I108">
        <v>12450</v>
      </c>
      <c r="J108">
        <v>21</v>
      </c>
      <c r="K108" t="s">
        <v>261</v>
      </c>
      <c r="L108">
        <v>2020</v>
      </c>
      <c r="M108" t="s">
        <v>407</v>
      </c>
      <c r="N108">
        <v>5654</v>
      </c>
      <c r="O108" t="s">
        <v>22</v>
      </c>
    </row>
    <row r="109" spans="1:15" x14ac:dyDescent="0.3">
      <c r="A109">
        <v>108</v>
      </c>
      <c r="B109" t="s">
        <v>408</v>
      </c>
      <c r="C109" t="s">
        <v>104</v>
      </c>
      <c r="D109" t="s">
        <v>25</v>
      </c>
      <c r="E109" t="s">
        <v>409</v>
      </c>
      <c r="F109" t="s">
        <v>37</v>
      </c>
      <c r="G109">
        <v>19.13</v>
      </c>
      <c r="H109">
        <v>4.5</v>
      </c>
      <c r="I109">
        <v>14199</v>
      </c>
      <c r="J109">
        <v>18</v>
      </c>
      <c r="K109" t="s">
        <v>326</v>
      </c>
      <c r="L109">
        <v>2021</v>
      </c>
      <c r="M109" t="s">
        <v>410</v>
      </c>
      <c r="N109">
        <v>4396</v>
      </c>
      <c r="O109" t="s">
        <v>22</v>
      </c>
    </row>
    <row r="110" spans="1:15" x14ac:dyDescent="0.3">
      <c r="A110">
        <v>109</v>
      </c>
      <c r="B110" t="s">
        <v>411</v>
      </c>
      <c r="C110" t="s">
        <v>24</v>
      </c>
      <c r="D110" t="s">
        <v>25</v>
      </c>
      <c r="E110" t="s">
        <v>412</v>
      </c>
      <c r="F110" t="s">
        <v>247</v>
      </c>
      <c r="G110">
        <v>9.19</v>
      </c>
      <c r="H110">
        <v>4.5999999999999996</v>
      </c>
      <c r="I110">
        <v>1244</v>
      </c>
      <c r="J110">
        <v>19</v>
      </c>
      <c r="K110" t="s">
        <v>312</v>
      </c>
      <c r="L110">
        <v>2026</v>
      </c>
      <c r="M110" t="s">
        <v>413</v>
      </c>
      <c r="N110">
        <v>1692</v>
      </c>
      <c r="O110" t="s">
        <v>22</v>
      </c>
    </row>
    <row r="111" spans="1:15" x14ac:dyDescent="0.3">
      <c r="A111">
        <v>110</v>
      </c>
      <c r="B111" t="s">
        <v>414</v>
      </c>
      <c r="C111" t="s">
        <v>415</v>
      </c>
      <c r="D111" t="s">
        <v>25</v>
      </c>
      <c r="E111" t="s">
        <v>296</v>
      </c>
      <c r="F111" t="s">
        <v>19</v>
      </c>
      <c r="G111">
        <v>10.14</v>
      </c>
      <c r="H111">
        <v>4.5</v>
      </c>
      <c r="I111">
        <v>3848</v>
      </c>
      <c r="J111">
        <v>28</v>
      </c>
      <c r="K111" t="s">
        <v>59</v>
      </c>
      <c r="L111">
        <v>2010</v>
      </c>
      <c r="M111" t="s">
        <v>416</v>
      </c>
      <c r="N111">
        <v>3694</v>
      </c>
      <c r="O111" t="s">
        <v>22</v>
      </c>
    </row>
    <row r="112" spans="1:15" x14ac:dyDescent="0.3">
      <c r="A112">
        <v>111</v>
      </c>
      <c r="B112" t="s">
        <v>417</v>
      </c>
      <c r="C112" t="s">
        <v>30</v>
      </c>
      <c r="D112" t="s">
        <v>25</v>
      </c>
      <c r="E112" t="s">
        <v>105</v>
      </c>
      <c r="F112" t="s">
        <v>19</v>
      </c>
      <c r="G112">
        <v>9.2899999999999991</v>
      </c>
      <c r="H112">
        <v>4.0999999999999996</v>
      </c>
      <c r="I112">
        <v>997</v>
      </c>
      <c r="J112">
        <v>9</v>
      </c>
      <c r="K112" t="s">
        <v>189</v>
      </c>
      <c r="L112">
        <v>2025</v>
      </c>
      <c r="M112" t="s">
        <v>418</v>
      </c>
      <c r="N112">
        <v>684</v>
      </c>
      <c r="O112" t="s">
        <v>22</v>
      </c>
    </row>
    <row r="113" spans="1:15" x14ac:dyDescent="0.3">
      <c r="A113">
        <v>112</v>
      </c>
      <c r="B113" t="s">
        <v>419</v>
      </c>
      <c r="C113" t="s">
        <v>394</v>
      </c>
      <c r="D113" t="s">
        <v>25</v>
      </c>
      <c r="E113" t="s">
        <v>31</v>
      </c>
      <c r="F113" t="s">
        <v>243</v>
      </c>
      <c r="G113">
        <v>32.58</v>
      </c>
      <c r="H113">
        <v>4.2</v>
      </c>
      <c r="I113">
        <v>3069</v>
      </c>
      <c r="J113">
        <v>22</v>
      </c>
      <c r="K113" t="s">
        <v>360</v>
      </c>
      <c r="L113">
        <v>2024</v>
      </c>
      <c r="M113" t="s">
        <v>420</v>
      </c>
      <c r="N113">
        <v>4520</v>
      </c>
      <c r="O113" t="s">
        <v>22</v>
      </c>
    </row>
    <row r="114" spans="1:15" x14ac:dyDescent="0.3">
      <c r="A114">
        <v>113</v>
      </c>
      <c r="B114" t="s">
        <v>421</v>
      </c>
      <c r="C114" t="s">
        <v>176</v>
      </c>
      <c r="D114" t="s">
        <v>17</v>
      </c>
      <c r="E114" t="s">
        <v>232</v>
      </c>
      <c r="F114" t="s">
        <v>37</v>
      </c>
      <c r="G114">
        <v>29.57</v>
      </c>
      <c r="H114">
        <v>4.3</v>
      </c>
      <c r="I114">
        <v>4178</v>
      </c>
      <c r="J114">
        <v>10</v>
      </c>
      <c r="K114" t="s">
        <v>173</v>
      </c>
      <c r="L114">
        <v>2018</v>
      </c>
      <c r="M114" t="s">
        <v>422</v>
      </c>
      <c r="N114">
        <v>983</v>
      </c>
      <c r="O114" t="s">
        <v>22</v>
      </c>
    </row>
    <row r="115" spans="1:15" x14ac:dyDescent="0.3">
      <c r="A115">
        <v>114</v>
      </c>
      <c r="B115" t="s">
        <v>423</v>
      </c>
      <c r="C115" t="s">
        <v>125</v>
      </c>
      <c r="D115" t="s">
        <v>25</v>
      </c>
      <c r="E115" t="s">
        <v>259</v>
      </c>
      <c r="F115" t="s">
        <v>19</v>
      </c>
      <c r="G115">
        <v>10.7</v>
      </c>
      <c r="H115">
        <v>4.4000000000000004</v>
      </c>
      <c r="I115">
        <v>12348</v>
      </c>
      <c r="J115">
        <v>5</v>
      </c>
      <c r="K115" t="s">
        <v>403</v>
      </c>
      <c r="L115">
        <v>2025</v>
      </c>
      <c r="M115" t="s">
        <v>424</v>
      </c>
      <c r="N115">
        <v>5993</v>
      </c>
      <c r="O115" t="s">
        <v>22</v>
      </c>
    </row>
    <row r="116" spans="1:15" x14ac:dyDescent="0.3">
      <c r="A116">
        <v>115</v>
      </c>
      <c r="B116" t="s">
        <v>425</v>
      </c>
      <c r="C116" t="s">
        <v>239</v>
      </c>
      <c r="D116" t="s">
        <v>17</v>
      </c>
      <c r="E116" t="s">
        <v>236</v>
      </c>
      <c r="F116" t="s">
        <v>19</v>
      </c>
      <c r="G116">
        <v>17.82</v>
      </c>
      <c r="H116">
        <v>3.9</v>
      </c>
      <c r="I116">
        <v>3528</v>
      </c>
      <c r="J116">
        <v>13</v>
      </c>
      <c r="K116" t="s">
        <v>426</v>
      </c>
      <c r="L116">
        <v>2020</v>
      </c>
      <c r="M116" t="s">
        <v>427</v>
      </c>
      <c r="N116">
        <v>362</v>
      </c>
      <c r="O116" t="s">
        <v>22</v>
      </c>
    </row>
    <row r="117" spans="1:15" x14ac:dyDescent="0.3">
      <c r="A117">
        <v>116</v>
      </c>
      <c r="B117" t="s">
        <v>428</v>
      </c>
      <c r="C117" t="s">
        <v>429</v>
      </c>
      <c r="D117" t="s">
        <v>17</v>
      </c>
      <c r="E117" t="s">
        <v>195</v>
      </c>
      <c r="F117" t="s">
        <v>247</v>
      </c>
      <c r="G117">
        <v>8.39</v>
      </c>
      <c r="H117">
        <v>4.5</v>
      </c>
      <c r="I117">
        <v>12054</v>
      </c>
      <c r="J117">
        <v>22</v>
      </c>
      <c r="K117" t="s">
        <v>82</v>
      </c>
      <c r="L117">
        <v>2025</v>
      </c>
      <c r="M117" t="s">
        <v>430</v>
      </c>
      <c r="N117">
        <v>6132</v>
      </c>
      <c r="O117" t="s">
        <v>22</v>
      </c>
    </row>
    <row r="118" spans="1:15" x14ac:dyDescent="0.3">
      <c r="A118">
        <v>117</v>
      </c>
      <c r="B118" t="s">
        <v>431</v>
      </c>
      <c r="C118" t="s">
        <v>315</v>
      </c>
      <c r="D118" t="s">
        <v>25</v>
      </c>
      <c r="E118" t="s">
        <v>105</v>
      </c>
      <c r="F118" t="s">
        <v>37</v>
      </c>
      <c r="G118">
        <v>17.78</v>
      </c>
      <c r="H118">
        <v>4</v>
      </c>
      <c r="I118">
        <v>8116</v>
      </c>
      <c r="J118">
        <v>23</v>
      </c>
      <c r="K118" t="s">
        <v>38</v>
      </c>
      <c r="L118">
        <v>2022</v>
      </c>
      <c r="M118" t="s">
        <v>432</v>
      </c>
      <c r="N118">
        <v>371</v>
      </c>
      <c r="O118" t="s">
        <v>22</v>
      </c>
    </row>
    <row r="119" spans="1:15" x14ac:dyDescent="0.3">
      <c r="A119">
        <v>118</v>
      </c>
      <c r="B119" t="s">
        <v>433</v>
      </c>
      <c r="C119" t="s">
        <v>434</v>
      </c>
      <c r="D119" t="s">
        <v>25</v>
      </c>
      <c r="E119" t="s">
        <v>409</v>
      </c>
      <c r="F119" t="s">
        <v>37</v>
      </c>
      <c r="G119">
        <v>27.59</v>
      </c>
      <c r="H119">
        <v>4</v>
      </c>
      <c r="I119">
        <v>4579</v>
      </c>
      <c r="J119">
        <v>27</v>
      </c>
      <c r="K119" t="s">
        <v>77</v>
      </c>
      <c r="L119">
        <v>2021</v>
      </c>
      <c r="M119" t="s">
        <v>435</v>
      </c>
      <c r="N119">
        <v>5947</v>
      </c>
      <c r="O119" t="s">
        <v>22</v>
      </c>
    </row>
    <row r="120" spans="1:15" x14ac:dyDescent="0.3">
      <c r="A120">
        <v>119</v>
      </c>
      <c r="B120" t="s">
        <v>436</v>
      </c>
      <c r="C120" t="s">
        <v>437</v>
      </c>
      <c r="D120" t="s">
        <v>25</v>
      </c>
      <c r="E120" t="s">
        <v>101</v>
      </c>
      <c r="F120" t="s">
        <v>247</v>
      </c>
      <c r="G120">
        <v>9.7899999999999991</v>
      </c>
      <c r="H120">
        <v>4.0999999999999996</v>
      </c>
      <c r="I120">
        <v>1762</v>
      </c>
      <c r="J120">
        <v>30</v>
      </c>
      <c r="K120" t="s">
        <v>426</v>
      </c>
      <c r="L120">
        <v>2023</v>
      </c>
      <c r="M120" t="s">
        <v>438</v>
      </c>
      <c r="N120">
        <v>4133</v>
      </c>
      <c r="O120" t="s">
        <v>22</v>
      </c>
    </row>
    <row r="121" spans="1:15" x14ac:dyDescent="0.3">
      <c r="A121">
        <v>120</v>
      </c>
      <c r="B121" t="s">
        <v>439</v>
      </c>
      <c r="C121" t="s">
        <v>35</v>
      </c>
      <c r="D121" t="s">
        <v>25</v>
      </c>
      <c r="E121" t="s">
        <v>440</v>
      </c>
      <c r="F121" t="s">
        <v>19</v>
      </c>
      <c r="G121">
        <v>16.5</v>
      </c>
      <c r="H121">
        <v>5</v>
      </c>
      <c r="I121">
        <v>6575</v>
      </c>
      <c r="J121">
        <v>23</v>
      </c>
      <c r="K121" t="s">
        <v>54</v>
      </c>
      <c r="L121">
        <v>2026</v>
      </c>
      <c r="M121" t="s">
        <v>441</v>
      </c>
      <c r="N121">
        <v>4342</v>
      </c>
      <c r="O121" t="s">
        <v>22</v>
      </c>
    </row>
    <row r="122" spans="1:15" x14ac:dyDescent="0.3">
      <c r="A122">
        <v>121</v>
      </c>
      <c r="B122" t="s">
        <v>442</v>
      </c>
      <c r="C122" t="s">
        <v>325</v>
      </c>
      <c r="D122" t="s">
        <v>17</v>
      </c>
      <c r="E122" t="s">
        <v>236</v>
      </c>
      <c r="F122" t="s">
        <v>19</v>
      </c>
      <c r="G122">
        <v>17.46</v>
      </c>
      <c r="H122">
        <v>4.0999999999999996</v>
      </c>
      <c r="I122">
        <v>11024</v>
      </c>
      <c r="J122">
        <v>14</v>
      </c>
      <c r="K122" t="s">
        <v>281</v>
      </c>
      <c r="L122">
        <v>2015</v>
      </c>
      <c r="M122" t="s">
        <v>443</v>
      </c>
      <c r="N122">
        <v>914</v>
      </c>
      <c r="O122" t="s">
        <v>22</v>
      </c>
    </row>
    <row r="123" spans="1:15" x14ac:dyDescent="0.3">
      <c r="A123">
        <v>122</v>
      </c>
      <c r="B123" t="s">
        <v>444</v>
      </c>
      <c r="C123" t="s">
        <v>445</v>
      </c>
      <c r="D123" t="s">
        <v>25</v>
      </c>
      <c r="E123" t="s">
        <v>73</v>
      </c>
      <c r="F123" t="s">
        <v>19</v>
      </c>
      <c r="G123">
        <v>10.68</v>
      </c>
      <c r="H123">
        <v>4.5999999999999996</v>
      </c>
      <c r="I123">
        <v>7553</v>
      </c>
      <c r="J123">
        <v>19</v>
      </c>
      <c r="K123" t="s">
        <v>205</v>
      </c>
      <c r="L123">
        <v>2023</v>
      </c>
      <c r="M123" t="s">
        <v>446</v>
      </c>
      <c r="N123">
        <v>4784</v>
      </c>
      <c r="O123" t="s">
        <v>22</v>
      </c>
    </row>
    <row r="124" spans="1:15" x14ac:dyDescent="0.3">
      <c r="A124">
        <v>123</v>
      </c>
      <c r="B124" t="s">
        <v>447</v>
      </c>
      <c r="C124" t="s">
        <v>62</v>
      </c>
      <c r="D124" t="s">
        <v>17</v>
      </c>
      <c r="E124" t="s">
        <v>96</v>
      </c>
      <c r="F124" t="s">
        <v>19</v>
      </c>
      <c r="G124">
        <v>11.7</v>
      </c>
      <c r="H124">
        <v>4.3</v>
      </c>
      <c r="I124">
        <v>7321</v>
      </c>
      <c r="J124">
        <v>10</v>
      </c>
      <c r="K124" t="s">
        <v>220</v>
      </c>
      <c r="L124">
        <v>2021</v>
      </c>
      <c r="M124" t="s">
        <v>448</v>
      </c>
      <c r="N124">
        <v>6151</v>
      </c>
      <c r="O124" t="s">
        <v>22</v>
      </c>
    </row>
    <row r="125" spans="1:15" x14ac:dyDescent="0.3">
      <c r="A125">
        <v>124</v>
      </c>
      <c r="B125" t="s">
        <v>449</v>
      </c>
      <c r="C125" t="s">
        <v>450</v>
      </c>
      <c r="D125" t="s">
        <v>17</v>
      </c>
      <c r="E125" t="s">
        <v>195</v>
      </c>
      <c r="F125" t="s">
        <v>247</v>
      </c>
      <c r="G125">
        <v>11.73</v>
      </c>
      <c r="H125">
        <v>4.4000000000000004</v>
      </c>
      <c r="I125">
        <v>9938</v>
      </c>
      <c r="J125">
        <v>6</v>
      </c>
      <c r="K125" t="s">
        <v>286</v>
      </c>
      <c r="L125">
        <v>2019</v>
      </c>
      <c r="M125" t="s">
        <v>451</v>
      </c>
      <c r="N125">
        <v>3510</v>
      </c>
      <c r="O125" t="s">
        <v>22</v>
      </c>
    </row>
    <row r="126" spans="1:15" x14ac:dyDescent="0.3">
      <c r="A126">
        <v>125</v>
      </c>
      <c r="B126" t="s">
        <v>452</v>
      </c>
      <c r="C126" t="s">
        <v>194</v>
      </c>
      <c r="D126" t="s">
        <v>17</v>
      </c>
      <c r="E126" t="s">
        <v>184</v>
      </c>
      <c r="F126" t="s">
        <v>260</v>
      </c>
      <c r="G126">
        <v>11.22</v>
      </c>
      <c r="H126">
        <v>4.3</v>
      </c>
      <c r="I126">
        <v>4973</v>
      </c>
      <c r="J126">
        <v>28</v>
      </c>
      <c r="K126" t="s">
        <v>205</v>
      </c>
      <c r="L126">
        <v>2024</v>
      </c>
      <c r="M126" t="s">
        <v>453</v>
      </c>
      <c r="N126">
        <v>2232</v>
      </c>
      <c r="O126" t="s">
        <v>22</v>
      </c>
    </row>
    <row r="127" spans="1:15" x14ac:dyDescent="0.3">
      <c r="A127">
        <v>126</v>
      </c>
      <c r="B127" t="s">
        <v>454</v>
      </c>
      <c r="C127" t="s">
        <v>366</v>
      </c>
      <c r="D127" t="s">
        <v>17</v>
      </c>
      <c r="E127" t="s">
        <v>58</v>
      </c>
      <c r="F127" t="s">
        <v>37</v>
      </c>
      <c r="G127">
        <v>28.88</v>
      </c>
      <c r="H127">
        <v>4.0999999999999996</v>
      </c>
      <c r="I127">
        <v>1991</v>
      </c>
      <c r="J127">
        <v>26</v>
      </c>
      <c r="K127" t="s">
        <v>303</v>
      </c>
      <c r="L127">
        <v>2018</v>
      </c>
      <c r="M127" t="s">
        <v>455</v>
      </c>
      <c r="N127">
        <v>614</v>
      </c>
      <c r="O127" t="s">
        <v>22</v>
      </c>
    </row>
    <row r="128" spans="1:15" x14ac:dyDescent="0.3">
      <c r="A128">
        <v>127</v>
      </c>
      <c r="B128" t="s">
        <v>456</v>
      </c>
      <c r="C128" t="s">
        <v>385</v>
      </c>
      <c r="D128" t="s">
        <v>17</v>
      </c>
      <c r="E128" t="s">
        <v>81</v>
      </c>
      <c r="F128" t="s">
        <v>19</v>
      </c>
      <c r="G128">
        <v>12.36</v>
      </c>
      <c r="H128">
        <v>4</v>
      </c>
      <c r="I128">
        <v>11512</v>
      </c>
      <c r="J128">
        <v>18</v>
      </c>
      <c r="K128" t="s">
        <v>59</v>
      </c>
      <c r="L128">
        <v>2016</v>
      </c>
      <c r="M128" t="s">
        <v>457</v>
      </c>
      <c r="N128">
        <v>957</v>
      </c>
      <c r="O128" t="s">
        <v>22</v>
      </c>
    </row>
    <row r="129" spans="1:15" x14ac:dyDescent="0.3">
      <c r="A129">
        <v>128</v>
      </c>
      <c r="B129" t="s">
        <v>458</v>
      </c>
      <c r="C129" t="s">
        <v>380</v>
      </c>
      <c r="D129" t="s">
        <v>17</v>
      </c>
      <c r="E129" t="s">
        <v>224</v>
      </c>
      <c r="F129" t="s">
        <v>19</v>
      </c>
      <c r="G129">
        <v>11.69</v>
      </c>
      <c r="H129">
        <v>4.5</v>
      </c>
      <c r="I129">
        <v>13474</v>
      </c>
      <c r="J129">
        <v>24</v>
      </c>
      <c r="K129" t="s">
        <v>54</v>
      </c>
      <c r="L129">
        <v>2016</v>
      </c>
      <c r="M129" t="s">
        <v>459</v>
      </c>
      <c r="N129">
        <v>2254</v>
      </c>
      <c r="O129" t="s">
        <v>22</v>
      </c>
    </row>
    <row r="130" spans="1:15" x14ac:dyDescent="0.3">
      <c r="A130">
        <v>129</v>
      </c>
      <c r="B130" t="s">
        <v>460</v>
      </c>
      <c r="C130" t="s">
        <v>461</v>
      </c>
      <c r="D130" t="s">
        <v>25</v>
      </c>
      <c r="E130" t="s">
        <v>47</v>
      </c>
      <c r="F130" t="s">
        <v>37</v>
      </c>
      <c r="G130">
        <v>19.559999999999999</v>
      </c>
      <c r="H130">
        <v>4.2</v>
      </c>
      <c r="I130">
        <v>11746</v>
      </c>
      <c r="J130">
        <v>8</v>
      </c>
      <c r="K130" t="s">
        <v>403</v>
      </c>
      <c r="L130">
        <v>2018</v>
      </c>
      <c r="M130" t="s">
        <v>462</v>
      </c>
      <c r="N130">
        <v>1789</v>
      </c>
      <c r="O130" t="s">
        <v>22</v>
      </c>
    </row>
    <row r="131" spans="1:15" x14ac:dyDescent="0.3">
      <c r="A131">
        <v>130</v>
      </c>
      <c r="B131" t="s">
        <v>463</v>
      </c>
      <c r="C131" t="s">
        <v>464</v>
      </c>
      <c r="D131" t="s">
        <v>17</v>
      </c>
      <c r="E131" t="s">
        <v>232</v>
      </c>
      <c r="F131" t="s">
        <v>247</v>
      </c>
      <c r="G131">
        <v>10.34</v>
      </c>
      <c r="H131">
        <v>4.3</v>
      </c>
      <c r="I131">
        <v>5073</v>
      </c>
      <c r="J131">
        <v>21</v>
      </c>
      <c r="K131" t="s">
        <v>326</v>
      </c>
      <c r="L131">
        <v>2023</v>
      </c>
      <c r="M131" t="s">
        <v>465</v>
      </c>
      <c r="N131">
        <v>2761</v>
      </c>
      <c r="O131" t="s">
        <v>22</v>
      </c>
    </row>
    <row r="132" spans="1:15" x14ac:dyDescent="0.3">
      <c r="A132">
        <v>131</v>
      </c>
      <c r="B132" t="s">
        <v>466</v>
      </c>
      <c r="C132" t="s">
        <v>62</v>
      </c>
      <c r="D132" t="s">
        <v>17</v>
      </c>
      <c r="E132" t="s">
        <v>184</v>
      </c>
      <c r="F132" t="s">
        <v>37</v>
      </c>
      <c r="G132">
        <v>18.809999999999999</v>
      </c>
      <c r="H132">
        <v>4.3</v>
      </c>
      <c r="I132">
        <v>1078</v>
      </c>
      <c r="J132">
        <v>29</v>
      </c>
      <c r="K132" t="s">
        <v>38</v>
      </c>
      <c r="L132">
        <v>2020</v>
      </c>
      <c r="M132" t="s">
        <v>467</v>
      </c>
      <c r="N132">
        <v>4862</v>
      </c>
      <c r="O132" t="s">
        <v>22</v>
      </c>
    </row>
    <row r="133" spans="1:15" x14ac:dyDescent="0.3">
      <c r="A133">
        <v>132</v>
      </c>
      <c r="B133" t="s">
        <v>468</v>
      </c>
      <c r="C133" t="s">
        <v>469</v>
      </c>
      <c r="D133" t="s">
        <v>25</v>
      </c>
      <c r="E133" t="s">
        <v>73</v>
      </c>
      <c r="F133" t="s">
        <v>37</v>
      </c>
      <c r="G133">
        <v>19.18</v>
      </c>
      <c r="H133">
        <v>4.7</v>
      </c>
      <c r="I133">
        <v>7692</v>
      </c>
      <c r="J133">
        <v>20</v>
      </c>
      <c r="K133" t="s">
        <v>470</v>
      </c>
      <c r="L133">
        <v>2025</v>
      </c>
      <c r="M133" t="s">
        <v>471</v>
      </c>
      <c r="N133">
        <v>4955</v>
      </c>
      <c r="O133" t="s">
        <v>22</v>
      </c>
    </row>
    <row r="134" spans="1:15" x14ac:dyDescent="0.3">
      <c r="A134">
        <v>133</v>
      </c>
      <c r="B134" t="s">
        <v>472</v>
      </c>
      <c r="C134" t="s">
        <v>473</v>
      </c>
      <c r="D134" t="s">
        <v>25</v>
      </c>
      <c r="E134" t="s">
        <v>126</v>
      </c>
      <c r="F134" t="s">
        <v>19</v>
      </c>
      <c r="G134">
        <v>16.75</v>
      </c>
      <c r="H134">
        <v>4.8</v>
      </c>
      <c r="I134">
        <v>2123</v>
      </c>
      <c r="J134">
        <v>26</v>
      </c>
      <c r="K134" t="s">
        <v>164</v>
      </c>
      <c r="L134">
        <v>2025</v>
      </c>
      <c r="M134" t="s">
        <v>474</v>
      </c>
      <c r="N134">
        <v>5449</v>
      </c>
      <c r="O134" t="s">
        <v>22</v>
      </c>
    </row>
    <row r="135" spans="1:15" x14ac:dyDescent="0.3">
      <c r="A135">
        <v>134</v>
      </c>
      <c r="B135" t="s">
        <v>475</v>
      </c>
      <c r="C135" t="s">
        <v>104</v>
      </c>
      <c r="D135" t="s">
        <v>25</v>
      </c>
      <c r="E135" t="s">
        <v>228</v>
      </c>
      <c r="F135" t="s">
        <v>19</v>
      </c>
      <c r="G135">
        <v>16.71</v>
      </c>
      <c r="H135">
        <v>4.7</v>
      </c>
      <c r="I135">
        <v>14948</v>
      </c>
      <c r="J135">
        <v>23</v>
      </c>
      <c r="K135" t="s">
        <v>213</v>
      </c>
      <c r="L135">
        <v>2025</v>
      </c>
      <c r="M135" t="s">
        <v>476</v>
      </c>
      <c r="N135">
        <v>6014</v>
      </c>
      <c r="O135" t="s">
        <v>22</v>
      </c>
    </row>
    <row r="136" spans="1:15" x14ac:dyDescent="0.3">
      <c r="A136">
        <v>135</v>
      </c>
      <c r="B136" t="s">
        <v>477</v>
      </c>
      <c r="C136" t="s">
        <v>478</v>
      </c>
      <c r="D136" t="s">
        <v>25</v>
      </c>
      <c r="E136" t="s">
        <v>101</v>
      </c>
      <c r="F136" t="s">
        <v>37</v>
      </c>
      <c r="G136">
        <v>20.61</v>
      </c>
      <c r="H136">
        <v>4.5999999999999996</v>
      </c>
      <c r="I136">
        <v>8196</v>
      </c>
      <c r="J136">
        <v>12</v>
      </c>
      <c r="K136" t="s">
        <v>470</v>
      </c>
      <c r="L136">
        <v>2023</v>
      </c>
      <c r="M136" t="s">
        <v>479</v>
      </c>
      <c r="N136">
        <v>788</v>
      </c>
      <c r="O136" t="s">
        <v>22</v>
      </c>
    </row>
    <row r="137" spans="1:15" x14ac:dyDescent="0.3">
      <c r="A137">
        <v>136</v>
      </c>
      <c r="B137" t="s">
        <v>480</v>
      </c>
      <c r="C137" t="s">
        <v>171</v>
      </c>
      <c r="D137" t="s">
        <v>17</v>
      </c>
      <c r="E137" t="s">
        <v>195</v>
      </c>
      <c r="F137" t="s">
        <v>19</v>
      </c>
      <c r="G137">
        <v>14.63</v>
      </c>
      <c r="H137">
        <v>4.3</v>
      </c>
      <c r="I137">
        <v>13908</v>
      </c>
      <c r="J137">
        <v>16</v>
      </c>
      <c r="K137" t="s">
        <v>32</v>
      </c>
      <c r="L137">
        <v>2011</v>
      </c>
      <c r="M137" t="s">
        <v>481</v>
      </c>
      <c r="N137">
        <v>1929</v>
      </c>
      <c r="O137" t="s">
        <v>22</v>
      </c>
    </row>
    <row r="138" spans="1:15" x14ac:dyDescent="0.3">
      <c r="A138">
        <v>137</v>
      </c>
      <c r="B138" t="s">
        <v>482</v>
      </c>
      <c r="C138" t="s">
        <v>76</v>
      </c>
      <c r="D138" t="s">
        <v>25</v>
      </c>
      <c r="E138" t="s">
        <v>259</v>
      </c>
      <c r="F138" t="s">
        <v>37</v>
      </c>
      <c r="G138">
        <v>20.03</v>
      </c>
      <c r="H138">
        <v>4.2</v>
      </c>
      <c r="I138">
        <v>217</v>
      </c>
      <c r="J138">
        <v>8</v>
      </c>
      <c r="K138" t="s">
        <v>213</v>
      </c>
      <c r="L138">
        <v>2022</v>
      </c>
      <c r="M138" t="s">
        <v>483</v>
      </c>
      <c r="N138">
        <v>350</v>
      </c>
      <c r="O138" t="s">
        <v>22</v>
      </c>
    </row>
    <row r="139" spans="1:15" x14ac:dyDescent="0.3">
      <c r="A139">
        <v>138</v>
      </c>
      <c r="B139" t="s">
        <v>484</v>
      </c>
      <c r="C139" t="s">
        <v>231</v>
      </c>
      <c r="D139" t="s">
        <v>17</v>
      </c>
      <c r="E139" t="s">
        <v>58</v>
      </c>
      <c r="F139" t="s">
        <v>19</v>
      </c>
      <c r="G139">
        <v>15.95</v>
      </c>
      <c r="H139">
        <v>4.0999999999999996</v>
      </c>
      <c r="I139">
        <v>12539</v>
      </c>
      <c r="J139">
        <v>29</v>
      </c>
      <c r="K139" t="s">
        <v>326</v>
      </c>
      <c r="L139">
        <v>2016</v>
      </c>
      <c r="M139" t="s">
        <v>485</v>
      </c>
      <c r="N139">
        <v>345</v>
      </c>
      <c r="O139" t="s">
        <v>22</v>
      </c>
    </row>
    <row r="140" spans="1:15" x14ac:dyDescent="0.3">
      <c r="A140">
        <v>139</v>
      </c>
      <c r="B140" t="s">
        <v>486</v>
      </c>
      <c r="C140" t="s">
        <v>344</v>
      </c>
      <c r="D140" t="s">
        <v>17</v>
      </c>
      <c r="E140" t="s">
        <v>81</v>
      </c>
      <c r="F140" t="s">
        <v>19</v>
      </c>
      <c r="G140">
        <v>12.85</v>
      </c>
      <c r="H140">
        <v>4.4000000000000004</v>
      </c>
      <c r="I140">
        <v>10761</v>
      </c>
      <c r="J140">
        <v>4</v>
      </c>
      <c r="K140" t="s">
        <v>286</v>
      </c>
      <c r="L140">
        <v>2018</v>
      </c>
      <c r="M140" t="s">
        <v>487</v>
      </c>
      <c r="N140">
        <v>5671</v>
      </c>
      <c r="O140" t="s">
        <v>22</v>
      </c>
    </row>
    <row r="141" spans="1:15" x14ac:dyDescent="0.3">
      <c r="A141">
        <v>140</v>
      </c>
      <c r="B141" t="s">
        <v>488</v>
      </c>
      <c r="C141" t="s">
        <v>489</v>
      </c>
      <c r="D141" t="s">
        <v>17</v>
      </c>
      <c r="E141" t="s">
        <v>236</v>
      </c>
      <c r="F141" t="s">
        <v>19</v>
      </c>
      <c r="G141">
        <v>16.989999999999998</v>
      </c>
      <c r="H141">
        <v>4.2</v>
      </c>
      <c r="I141">
        <v>397</v>
      </c>
      <c r="J141">
        <v>13</v>
      </c>
      <c r="K141" t="s">
        <v>213</v>
      </c>
      <c r="L141">
        <v>2026</v>
      </c>
      <c r="M141" t="s">
        <v>490</v>
      </c>
      <c r="N141">
        <v>4755</v>
      </c>
      <c r="O141" t="s">
        <v>22</v>
      </c>
    </row>
    <row r="142" spans="1:15" x14ac:dyDescent="0.3">
      <c r="A142">
        <v>141</v>
      </c>
      <c r="B142" t="s">
        <v>491</v>
      </c>
      <c r="C142" t="s">
        <v>492</v>
      </c>
      <c r="D142" t="s">
        <v>17</v>
      </c>
      <c r="E142" t="s">
        <v>311</v>
      </c>
      <c r="F142" t="s">
        <v>37</v>
      </c>
      <c r="G142">
        <v>22.22</v>
      </c>
      <c r="H142">
        <v>4.2</v>
      </c>
      <c r="I142">
        <v>2701</v>
      </c>
      <c r="J142">
        <v>10</v>
      </c>
      <c r="K142" t="s">
        <v>290</v>
      </c>
      <c r="L142">
        <v>2015</v>
      </c>
      <c r="M142" t="s">
        <v>493</v>
      </c>
      <c r="N142">
        <v>4676</v>
      </c>
      <c r="O142" t="s">
        <v>22</v>
      </c>
    </row>
    <row r="143" spans="1:15" x14ac:dyDescent="0.3">
      <c r="A143">
        <v>142</v>
      </c>
      <c r="B143" t="s">
        <v>494</v>
      </c>
      <c r="C143" t="s">
        <v>495</v>
      </c>
      <c r="D143" t="s">
        <v>17</v>
      </c>
      <c r="E143" t="s">
        <v>334</v>
      </c>
      <c r="F143" t="s">
        <v>19</v>
      </c>
      <c r="G143">
        <v>14.98</v>
      </c>
      <c r="H143">
        <v>4.2</v>
      </c>
      <c r="I143">
        <v>10981</v>
      </c>
      <c r="J143">
        <v>25</v>
      </c>
      <c r="K143" t="s">
        <v>38</v>
      </c>
      <c r="L143">
        <v>2017</v>
      </c>
      <c r="M143" t="s">
        <v>496</v>
      </c>
      <c r="N143">
        <v>3124</v>
      </c>
      <c r="O143" t="s">
        <v>22</v>
      </c>
    </row>
    <row r="144" spans="1:15" x14ac:dyDescent="0.3">
      <c r="A144">
        <v>143</v>
      </c>
      <c r="B144" t="s">
        <v>497</v>
      </c>
      <c r="C144" t="s">
        <v>341</v>
      </c>
      <c r="D144" t="s">
        <v>25</v>
      </c>
      <c r="E144" t="s">
        <v>412</v>
      </c>
      <c r="F144" t="s">
        <v>260</v>
      </c>
      <c r="G144">
        <v>12.38</v>
      </c>
      <c r="H144">
        <v>4.0999999999999996</v>
      </c>
      <c r="I144">
        <v>1108</v>
      </c>
      <c r="J144">
        <v>17</v>
      </c>
      <c r="K144" t="s">
        <v>32</v>
      </c>
      <c r="L144">
        <v>2025</v>
      </c>
      <c r="M144" t="s">
        <v>498</v>
      </c>
      <c r="N144">
        <v>4987</v>
      </c>
      <c r="O144" t="s">
        <v>22</v>
      </c>
    </row>
    <row r="145" spans="1:15" x14ac:dyDescent="0.3">
      <c r="A145">
        <v>144</v>
      </c>
      <c r="B145" t="s">
        <v>499</v>
      </c>
      <c r="C145" t="s">
        <v>100</v>
      </c>
      <c r="D145" t="s">
        <v>25</v>
      </c>
      <c r="E145" t="s">
        <v>296</v>
      </c>
      <c r="F145" t="s">
        <v>37</v>
      </c>
      <c r="G145">
        <v>28.87</v>
      </c>
      <c r="H145">
        <v>4.4000000000000004</v>
      </c>
      <c r="I145">
        <v>12335</v>
      </c>
      <c r="J145">
        <v>22</v>
      </c>
      <c r="K145" t="s">
        <v>135</v>
      </c>
      <c r="L145">
        <v>2021</v>
      </c>
      <c r="M145" t="s">
        <v>500</v>
      </c>
      <c r="N145">
        <v>2510</v>
      </c>
      <c r="O145" t="s">
        <v>22</v>
      </c>
    </row>
    <row r="146" spans="1:15" x14ac:dyDescent="0.3">
      <c r="A146">
        <v>145</v>
      </c>
      <c r="B146" t="s">
        <v>501</v>
      </c>
      <c r="C146" t="s">
        <v>363</v>
      </c>
      <c r="D146" t="s">
        <v>25</v>
      </c>
      <c r="E146" t="s">
        <v>228</v>
      </c>
      <c r="F146" t="s">
        <v>247</v>
      </c>
      <c r="G146">
        <v>6.94</v>
      </c>
      <c r="H146">
        <v>4.4000000000000004</v>
      </c>
      <c r="I146">
        <v>3487</v>
      </c>
      <c r="J146">
        <v>11</v>
      </c>
      <c r="K146" t="s">
        <v>27</v>
      </c>
      <c r="L146">
        <v>2023</v>
      </c>
      <c r="M146" t="s">
        <v>502</v>
      </c>
      <c r="N146">
        <v>5137</v>
      </c>
      <c r="O146" t="s">
        <v>22</v>
      </c>
    </row>
    <row r="147" spans="1:15" x14ac:dyDescent="0.3">
      <c r="A147">
        <v>146</v>
      </c>
      <c r="B147" t="s">
        <v>503</v>
      </c>
      <c r="C147" t="s">
        <v>504</v>
      </c>
      <c r="D147" t="s">
        <v>25</v>
      </c>
      <c r="E147" t="s">
        <v>26</v>
      </c>
      <c r="F147" t="s">
        <v>37</v>
      </c>
      <c r="G147">
        <v>28.03</v>
      </c>
      <c r="H147">
        <v>4.4000000000000004</v>
      </c>
      <c r="I147">
        <v>12114</v>
      </c>
      <c r="J147">
        <v>11</v>
      </c>
      <c r="K147" t="s">
        <v>345</v>
      </c>
      <c r="L147">
        <v>2015</v>
      </c>
      <c r="M147" t="s">
        <v>505</v>
      </c>
      <c r="N147">
        <v>1458</v>
      </c>
      <c r="O147" t="s">
        <v>22</v>
      </c>
    </row>
    <row r="148" spans="1:15" x14ac:dyDescent="0.3">
      <c r="A148">
        <v>147</v>
      </c>
      <c r="B148" t="s">
        <v>506</v>
      </c>
      <c r="C148" t="s">
        <v>507</v>
      </c>
      <c r="D148" t="s">
        <v>25</v>
      </c>
      <c r="E148" t="s">
        <v>285</v>
      </c>
      <c r="F148" t="s">
        <v>37</v>
      </c>
      <c r="G148">
        <v>22.64</v>
      </c>
      <c r="H148">
        <v>4.5999999999999996</v>
      </c>
      <c r="I148">
        <v>4476</v>
      </c>
      <c r="J148">
        <v>29</v>
      </c>
      <c r="K148" t="s">
        <v>189</v>
      </c>
      <c r="L148">
        <v>2020</v>
      </c>
      <c r="M148" t="s">
        <v>508</v>
      </c>
      <c r="N148">
        <v>2207</v>
      </c>
      <c r="O148" t="s">
        <v>22</v>
      </c>
    </row>
    <row r="149" spans="1:15" x14ac:dyDescent="0.3">
      <c r="A149">
        <v>148</v>
      </c>
      <c r="B149" t="s">
        <v>509</v>
      </c>
      <c r="C149" t="s">
        <v>510</v>
      </c>
      <c r="D149" t="s">
        <v>17</v>
      </c>
      <c r="E149" t="s">
        <v>511</v>
      </c>
      <c r="F149" t="s">
        <v>37</v>
      </c>
      <c r="G149">
        <v>23.01</v>
      </c>
      <c r="H149">
        <v>4.4000000000000004</v>
      </c>
      <c r="I149">
        <v>14167</v>
      </c>
      <c r="J149">
        <v>5</v>
      </c>
      <c r="K149" t="s">
        <v>326</v>
      </c>
      <c r="L149">
        <v>2015</v>
      </c>
      <c r="M149" t="s">
        <v>512</v>
      </c>
      <c r="N149">
        <v>2981</v>
      </c>
      <c r="O149" t="s">
        <v>22</v>
      </c>
    </row>
    <row r="150" spans="1:15" x14ac:dyDescent="0.3">
      <c r="A150">
        <v>149</v>
      </c>
      <c r="B150" t="s">
        <v>513</v>
      </c>
      <c r="C150" t="s">
        <v>514</v>
      </c>
      <c r="D150" t="s">
        <v>17</v>
      </c>
      <c r="E150" t="s">
        <v>184</v>
      </c>
      <c r="F150" t="s">
        <v>19</v>
      </c>
      <c r="G150">
        <v>13.15</v>
      </c>
      <c r="H150">
        <v>4.4000000000000004</v>
      </c>
      <c r="I150">
        <v>395</v>
      </c>
      <c r="J150">
        <v>3</v>
      </c>
      <c r="K150" t="s">
        <v>144</v>
      </c>
      <c r="L150">
        <v>2025</v>
      </c>
      <c r="M150" t="s">
        <v>515</v>
      </c>
      <c r="N150">
        <v>3347</v>
      </c>
      <c r="O150" t="s">
        <v>22</v>
      </c>
    </row>
    <row r="151" spans="1:15" x14ac:dyDescent="0.3">
      <c r="A151">
        <v>150</v>
      </c>
      <c r="B151" t="s">
        <v>516</v>
      </c>
      <c r="C151" t="s">
        <v>242</v>
      </c>
      <c r="D151" t="s">
        <v>25</v>
      </c>
      <c r="E151" t="s">
        <v>126</v>
      </c>
      <c r="F151" t="s">
        <v>19</v>
      </c>
      <c r="G151">
        <v>17.309999999999999</v>
      </c>
      <c r="H151">
        <v>4.3</v>
      </c>
      <c r="I151">
        <v>7296</v>
      </c>
      <c r="J151">
        <v>28</v>
      </c>
      <c r="K151" t="s">
        <v>271</v>
      </c>
      <c r="L151">
        <v>2024</v>
      </c>
      <c r="M151" t="s">
        <v>517</v>
      </c>
      <c r="N151">
        <v>1715</v>
      </c>
      <c r="O151" t="s">
        <v>22</v>
      </c>
    </row>
    <row r="152" spans="1:15" x14ac:dyDescent="0.3">
      <c r="A152">
        <v>151</v>
      </c>
      <c r="B152" t="s">
        <v>518</v>
      </c>
      <c r="C152" t="s">
        <v>519</v>
      </c>
      <c r="D152" t="s">
        <v>25</v>
      </c>
      <c r="E152" t="s">
        <v>31</v>
      </c>
      <c r="F152" t="s">
        <v>19</v>
      </c>
      <c r="G152">
        <v>10.23</v>
      </c>
      <c r="H152">
        <v>4.5999999999999996</v>
      </c>
      <c r="I152">
        <v>8814</v>
      </c>
      <c r="J152">
        <v>9</v>
      </c>
      <c r="K152" t="s">
        <v>377</v>
      </c>
      <c r="L152">
        <v>2024</v>
      </c>
      <c r="M152" t="s">
        <v>520</v>
      </c>
      <c r="N152">
        <v>4231</v>
      </c>
      <c r="O152" t="s">
        <v>22</v>
      </c>
    </row>
    <row r="153" spans="1:15" x14ac:dyDescent="0.3">
      <c r="A153">
        <v>152</v>
      </c>
      <c r="B153" t="s">
        <v>521</v>
      </c>
      <c r="C153" t="s">
        <v>522</v>
      </c>
      <c r="D153" t="s">
        <v>25</v>
      </c>
      <c r="E153" t="s">
        <v>31</v>
      </c>
      <c r="F153" t="s">
        <v>37</v>
      </c>
      <c r="G153">
        <v>26.96</v>
      </c>
      <c r="H153">
        <v>4.9000000000000004</v>
      </c>
      <c r="I153">
        <v>4013</v>
      </c>
      <c r="J153">
        <v>7</v>
      </c>
      <c r="K153" t="s">
        <v>303</v>
      </c>
      <c r="L153">
        <v>2015</v>
      </c>
      <c r="M153" t="s">
        <v>523</v>
      </c>
      <c r="N153">
        <v>2101</v>
      </c>
      <c r="O153" t="s">
        <v>22</v>
      </c>
    </row>
    <row r="154" spans="1:15" x14ac:dyDescent="0.3">
      <c r="A154">
        <v>153</v>
      </c>
      <c r="B154" t="s">
        <v>524</v>
      </c>
      <c r="C154" t="s">
        <v>525</v>
      </c>
      <c r="D154" t="s">
        <v>17</v>
      </c>
      <c r="E154" t="s">
        <v>172</v>
      </c>
      <c r="F154" t="s">
        <v>19</v>
      </c>
      <c r="G154">
        <v>9.33</v>
      </c>
      <c r="H154">
        <v>4.7</v>
      </c>
      <c r="I154">
        <v>526</v>
      </c>
      <c r="J154">
        <v>18</v>
      </c>
      <c r="K154" t="s">
        <v>54</v>
      </c>
      <c r="L154">
        <v>2022</v>
      </c>
      <c r="M154" t="s">
        <v>526</v>
      </c>
      <c r="N154">
        <v>3097</v>
      </c>
      <c r="O154" t="s">
        <v>22</v>
      </c>
    </row>
    <row r="155" spans="1:15" x14ac:dyDescent="0.3">
      <c r="A155">
        <v>154</v>
      </c>
      <c r="B155" t="s">
        <v>527</v>
      </c>
      <c r="C155" t="s">
        <v>231</v>
      </c>
      <c r="D155" t="s">
        <v>17</v>
      </c>
      <c r="E155" t="s">
        <v>195</v>
      </c>
      <c r="F155" t="s">
        <v>19</v>
      </c>
      <c r="G155">
        <v>17.77</v>
      </c>
      <c r="H155">
        <v>4.5</v>
      </c>
      <c r="I155">
        <v>12198</v>
      </c>
      <c r="J155">
        <v>15</v>
      </c>
      <c r="K155" t="s">
        <v>271</v>
      </c>
      <c r="L155">
        <v>2025</v>
      </c>
      <c r="M155" t="s">
        <v>528</v>
      </c>
      <c r="N155">
        <v>5989</v>
      </c>
      <c r="O155" t="s">
        <v>22</v>
      </c>
    </row>
    <row r="156" spans="1:15" x14ac:dyDescent="0.3">
      <c r="A156">
        <v>155</v>
      </c>
      <c r="B156" t="s">
        <v>529</v>
      </c>
      <c r="C156" t="s">
        <v>530</v>
      </c>
      <c r="D156" t="s">
        <v>25</v>
      </c>
      <c r="E156" t="s">
        <v>296</v>
      </c>
      <c r="F156" t="s">
        <v>19</v>
      </c>
      <c r="G156">
        <v>16.27</v>
      </c>
      <c r="H156">
        <v>4.0999999999999996</v>
      </c>
      <c r="I156">
        <v>1905</v>
      </c>
      <c r="J156">
        <v>17</v>
      </c>
      <c r="K156" t="s">
        <v>322</v>
      </c>
      <c r="L156">
        <v>2016</v>
      </c>
      <c r="M156" t="s">
        <v>531</v>
      </c>
      <c r="N156">
        <v>1685</v>
      </c>
      <c r="O156" t="s">
        <v>22</v>
      </c>
    </row>
    <row r="157" spans="1:15" x14ac:dyDescent="0.3">
      <c r="A157">
        <v>156</v>
      </c>
      <c r="B157" t="s">
        <v>532</v>
      </c>
      <c r="C157" t="s">
        <v>338</v>
      </c>
      <c r="D157" t="s">
        <v>25</v>
      </c>
      <c r="E157" t="s">
        <v>31</v>
      </c>
      <c r="F157" t="s">
        <v>37</v>
      </c>
      <c r="G157">
        <v>22.45</v>
      </c>
      <c r="H157">
        <v>4.2</v>
      </c>
      <c r="I157">
        <v>2925</v>
      </c>
      <c r="J157">
        <v>30</v>
      </c>
      <c r="K157" t="s">
        <v>127</v>
      </c>
      <c r="L157">
        <v>2021</v>
      </c>
      <c r="M157" t="s">
        <v>533</v>
      </c>
      <c r="N157">
        <v>4239</v>
      </c>
      <c r="O157" t="s">
        <v>22</v>
      </c>
    </row>
    <row r="158" spans="1:15" x14ac:dyDescent="0.3">
      <c r="A158">
        <v>157</v>
      </c>
      <c r="B158" t="s">
        <v>534</v>
      </c>
      <c r="C158" t="s">
        <v>62</v>
      </c>
      <c r="D158" t="s">
        <v>17</v>
      </c>
      <c r="E158" t="s">
        <v>195</v>
      </c>
      <c r="F158" t="s">
        <v>243</v>
      </c>
      <c r="G158">
        <v>18.21</v>
      </c>
      <c r="H158">
        <v>4.9000000000000004</v>
      </c>
      <c r="I158">
        <v>1725</v>
      </c>
      <c r="J158">
        <v>12</v>
      </c>
      <c r="K158" t="s">
        <v>281</v>
      </c>
      <c r="L158">
        <v>2023</v>
      </c>
      <c r="M158" t="s">
        <v>535</v>
      </c>
      <c r="N158">
        <v>5289</v>
      </c>
      <c r="O158" t="s">
        <v>22</v>
      </c>
    </row>
    <row r="159" spans="1:15" x14ac:dyDescent="0.3">
      <c r="A159">
        <v>158</v>
      </c>
      <c r="B159" t="s">
        <v>536</v>
      </c>
      <c r="C159" t="s">
        <v>373</v>
      </c>
      <c r="D159" t="s">
        <v>25</v>
      </c>
      <c r="E159" t="s">
        <v>370</v>
      </c>
      <c r="F159" t="s">
        <v>19</v>
      </c>
      <c r="G159">
        <v>14.14</v>
      </c>
      <c r="H159">
        <v>4.7</v>
      </c>
      <c r="I159">
        <v>13960</v>
      </c>
      <c r="J159">
        <v>17</v>
      </c>
      <c r="K159" t="s">
        <v>77</v>
      </c>
      <c r="L159">
        <v>2017</v>
      </c>
      <c r="M159" t="s">
        <v>537</v>
      </c>
      <c r="N159">
        <v>5739</v>
      </c>
      <c r="O159" t="s">
        <v>22</v>
      </c>
    </row>
    <row r="160" spans="1:15" x14ac:dyDescent="0.3">
      <c r="A160">
        <v>159</v>
      </c>
      <c r="B160" t="s">
        <v>538</v>
      </c>
      <c r="C160" t="s">
        <v>321</v>
      </c>
      <c r="D160" t="s">
        <v>17</v>
      </c>
      <c r="E160" t="s">
        <v>539</v>
      </c>
      <c r="F160" t="s">
        <v>243</v>
      </c>
      <c r="G160">
        <v>20.29</v>
      </c>
      <c r="H160">
        <v>4.2</v>
      </c>
      <c r="I160">
        <v>6278</v>
      </c>
      <c r="J160">
        <v>30</v>
      </c>
      <c r="K160" t="s">
        <v>130</v>
      </c>
      <c r="L160">
        <v>2021</v>
      </c>
      <c r="M160" t="s">
        <v>540</v>
      </c>
      <c r="N160">
        <v>4127</v>
      </c>
      <c r="O160" t="s">
        <v>22</v>
      </c>
    </row>
    <row r="161" spans="1:15" x14ac:dyDescent="0.3">
      <c r="A161">
        <v>160</v>
      </c>
      <c r="B161" t="s">
        <v>541</v>
      </c>
      <c r="C161" t="s">
        <v>542</v>
      </c>
      <c r="D161" t="s">
        <v>17</v>
      </c>
      <c r="E161" t="s">
        <v>96</v>
      </c>
      <c r="F161" t="s">
        <v>37</v>
      </c>
      <c r="G161">
        <v>23.95</v>
      </c>
      <c r="H161">
        <v>4.2</v>
      </c>
      <c r="I161">
        <v>14403</v>
      </c>
      <c r="J161">
        <v>17</v>
      </c>
      <c r="K161" t="s">
        <v>148</v>
      </c>
      <c r="L161">
        <v>2023</v>
      </c>
      <c r="M161" t="s">
        <v>543</v>
      </c>
      <c r="N161">
        <v>6171</v>
      </c>
      <c r="O161" t="s">
        <v>22</v>
      </c>
    </row>
    <row r="162" spans="1:15" x14ac:dyDescent="0.3">
      <c r="A162">
        <v>161</v>
      </c>
      <c r="B162" t="s">
        <v>544</v>
      </c>
      <c r="C162" t="s">
        <v>369</v>
      </c>
      <c r="D162" t="s">
        <v>25</v>
      </c>
      <c r="E162" t="s">
        <v>101</v>
      </c>
      <c r="F162" t="s">
        <v>37</v>
      </c>
      <c r="G162">
        <v>29.95</v>
      </c>
      <c r="H162">
        <v>4.0999999999999996</v>
      </c>
      <c r="I162">
        <v>4425</v>
      </c>
      <c r="J162">
        <v>12</v>
      </c>
      <c r="K162" t="s">
        <v>312</v>
      </c>
      <c r="L162">
        <v>2026</v>
      </c>
      <c r="M162" t="s">
        <v>545</v>
      </c>
      <c r="N162">
        <v>4844</v>
      </c>
      <c r="O162" t="s">
        <v>22</v>
      </c>
    </row>
    <row r="163" spans="1:15" x14ac:dyDescent="0.3">
      <c r="A163">
        <v>162</v>
      </c>
      <c r="B163" t="s">
        <v>546</v>
      </c>
      <c r="C163" t="s">
        <v>547</v>
      </c>
      <c r="D163" t="s">
        <v>17</v>
      </c>
      <c r="E163" t="s">
        <v>86</v>
      </c>
      <c r="F163" t="s">
        <v>247</v>
      </c>
      <c r="G163">
        <v>11.8</v>
      </c>
      <c r="H163">
        <v>4.0999999999999996</v>
      </c>
      <c r="I163">
        <v>14620</v>
      </c>
      <c r="J163">
        <v>13</v>
      </c>
      <c r="K163" t="s">
        <v>140</v>
      </c>
      <c r="L163">
        <v>2026</v>
      </c>
      <c r="M163" t="s">
        <v>548</v>
      </c>
      <c r="N163">
        <v>5312</v>
      </c>
      <c r="O163" t="s">
        <v>22</v>
      </c>
    </row>
    <row r="164" spans="1:15" x14ac:dyDescent="0.3">
      <c r="A164">
        <v>163</v>
      </c>
      <c r="B164" t="s">
        <v>549</v>
      </c>
      <c r="C164" t="s">
        <v>187</v>
      </c>
      <c r="D164" t="s">
        <v>17</v>
      </c>
      <c r="E164" t="s">
        <v>58</v>
      </c>
      <c r="F164" t="s">
        <v>19</v>
      </c>
      <c r="G164">
        <v>16.13</v>
      </c>
      <c r="H164">
        <v>4.2</v>
      </c>
      <c r="I164">
        <v>14261</v>
      </c>
      <c r="J164">
        <v>24</v>
      </c>
      <c r="K164" t="s">
        <v>144</v>
      </c>
      <c r="L164">
        <v>2024</v>
      </c>
      <c r="M164" t="s">
        <v>550</v>
      </c>
      <c r="N164">
        <v>2954</v>
      </c>
      <c r="O164" t="s">
        <v>22</v>
      </c>
    </row>
    <row r="165" spans="1:15" x14ac:dyDescent="0.3">
      <c r="A165">
        <v>164</v>
      </c>
      <c r="B165" t="s">
        <v>551</v>
      </c>
      <c r="C165" t="s">
        <v>30</v>
      </c>
      <c r="D165" t="s">
        <v>25</v>
      </c>
      <c r="E165" t="s">
        <v>440</v>
      </c>
      <c r="F165" t="s">
        <v>19</v>
      </c>
      <c r="G165">
        <v>13.55</v>
      </c>
      <c r="H165">
        <v>4.8</v>
      </c>
      <c r="I165">
        <v>2422</v>
      </c>
      <c r="J165">
        <v>26</v>
      </c>
      <c r="K165" t="s">
        <v>353</v>
      </c>
      <c r="L165">
        <v>2025</v>
      </c>
      <c r="M165" t="s">
        <v>552</v>
      </c>
      <c r="N165">
        <v>800</v>
      </c>
      <c r="O165" t="s">
        <v>22</v>
      </c>
    </row>
    <row r="166" spans="1:15" x14ac:dyDescent="0.3">
      <c r="A166">
        <v>165</v>
      </c>
      <c r="B166" t="s">
        <v>553</v>
      </c>
      <c r="C166" t="s">
        <v>321</v>
      </c>
      <c r="D166" t="s">
        <v>17</v>
      </c>
      <c r="E166" t="s">
        <v>58</v>
      </c>
      <c r="F166" t="s">
        <v>37</v>
      </c>
      <c r="G166">
        <v>19.3</v>
      </c>
      <c r="H166">
        <v>4.5999999999999996</v>
      </c>
      <c r="I166">
        <v>5930</v>
      </c>
      <c r="J166">
        <v>13</v>
      </c>
      <c r="K166" t="s">
        <v>140</v>
      </c>
      <c r="L166">
        <v>2017</v>
      </c>
      <c r="M166" t="s">
        <v>554</v>
      </c>
      <c r="N166">
        <v>736</v>
      </c>
      <c r="O166" t="s">
        <v>22</v>
      </c>
    </row>
    <row r="167" spans="1:15" x14ac:dyDescent="0.3">
      <c r="A167">
        <v>166</v>
      </c>
      <c r="B167" t="s">
        <v>555</v>
      </c>
      <c r="C167" t="s">
        <v>556</v>
      </c>
      <c r="D167" t="s">
        <v>25</v>
      </c>
      <c r="E167" t="s">
        <v>296</v>
      </c>
      <c r="F167" t="s">
        <v>247</v>
      </c>
      <c r="G167">
        <v>6</v>
      </c>
      <c r="H167">
        <v>4.2</v>
      </c>
      <c r="I167">
        <v>10167</v>
      </c>
      <c r="J167">
        <v>27</v>
      </c>
      <c r="K167" t="s">
        <v>335</v>
      </c>
      <c r="L167">
        <v>2026</v>
      </c>
      <c r="M167" t="s">
        <v>557</v>
      </c>
      <c r="N167">
        <v>4092</v>
      </c>
      <c r="O167" t="s">
        <v>22</v>
      </c>
    </row>
    <row r="168" spans="1:15" x14ac:dyDescent="0.3">
      <c r="A168">
        <v>167</v>
      </c>
      <c r="B168" t="s">
        <v>558</v>
      </c>
      <c r="C168" t="s">
        <v>183</v>
      </c>
      <c r="D168" t="s">
        <v>17</v>
      </c>
      <c r="E168" t="s">
        <v>539</v>
      </c>
      <c r="F168" t="s">
        <v>19</v>
      </c>
      <c r="G168">
        <v>11.48</v>
      </c>
      <c r="H168">
        <v>4.3</v>
      </c>
      <c r="I168">
        <v>10949</v>
      </c>
      <c r="J168">
        <v>24</v>
      </c>
      <c r="K168" t="s">
        <v>173</v>
      </c>
      <c r="L168">
        <v>2026</v>
      </c>
      <c r="M168" t="s">
        <v>559</v>
      </c>
      <c r="N168">
        <v>6604</v>
      </c>
      <c r="O168" t="s">
        <v>22</v>
      </c>
    </row>
    <row r="169" spans="1:15" x14ac:dyDescent="0.3">
      <c r="A169">
        <v>168</v>
      </c>
      <c r="B169" t="s">
        <v>560</v>
      </c>
      <c r="C169" t="s">
        <v>376</v>
      </c>
      <c r="D169" t="s">
        <v>25</v>
      </c>
      <c r="E169" t="s">
        <v>126</v>
      </c>
      <c r="F169" t="s">
        <v>247</v>
      </c>
      <c r="G169">
        <v>9.14</v>
      </c>
      <c r="H169">
        <v>4.5999999999999996</v>
      </c>
      <c r="I169">
        <v>3311</v>
      </c>
      <c r="J169">
        <v>12</v>
      </c>
      <c r="K169" t="s">
        <v>144</v>
      </c>
      <c r="L169">
        <v>2024</v>
      </c>
      <c r="M169" t="s">
        <v>561</v>
      </c>
      <c r="N169">
        <v>5839</v>
      </c>
      <c r="O169" t="s">
        <v>22</v>
      </c>
    </row>
    <row r="170" spans="1:15" x14ac:dyDescent="0.3">
      <c r="A170">
        <v>169</v>
      </c>
      <c r="B170" t="s">
        <v>562</v>
      </c>
      <c r="C170" t="s">
        <v>469</v>
      </c>
      <c r="D170" t="s">
        <v>25</v>
      </c>
      <c r="E170" t="s">
        <v>101</v>
      </c>
      <c r="F170" t="s">
        <v>19</v>
      </c>
      <c r="G170">
        <v>15.69</v>
      </c>
      <c r="H170">
        <v>4.2</v>
      </c>
      <c r="I170">
        <v>5628</v>
      </c>
      <c r="J170">
        <v>13</v>
      </c>
      <c r="K170" t="s">
        <v>20</v>
      </c>
      <c r="L170">
        <v>2019</v>
      </c>
      <c r="M170" t="s">
        <v>563</v>
      </c>
      <c r="N170">
        <v>5534</v>
      </c>
      <c r="O170" t="s">
        <v>22</v>
      </c>
    </row>
    <row r="171" spans="1:15" x14ac:dyDescent="0.3">
      <c r="A171">
        <v>170</v>
      </c>
      <c r="B171" t="s">
        <v>564</v>
      </c>
      <c r="C171" t="s">
        <v>258</v>
      </c>
      <c r="D171" t="s">
        <v>25</v>
      </c>
      <c r="E171" t="s">
        <v>359</v>
      </c>
      <c r="F171" t="s">
        <v>19</v>
      </c>
      <c r="G171">
        <v>17.87</v>
      </c>
      <c r="H171">
        <v>4.8</v>
      </c>
      <c r="I171">
        <v>14828</v>
      </c>
      <c r="J171">
        <v>16</v>
      </c>
      <c r="K171" t="s">
        <v>335</v>
      </c>
      <c r="L171">
        <v>2016</v>
      </c>
      <c r="M171" t="s">
        <v>565</v>
      </c>
      <c r="N171">
        <v>5509</v>
      </c>
      <c r="O171" t="s">
        <v>22</v>
      </c>
    </row>
    <row r="172" spans="1:15" x14ac:dyDescent="0.3">
      <c r="A172">
        <v>171</v>
      </c>
      <c r="B172" t="s">
        <v>566</v>
      </c>
      <c r="C172" t="s">
        <v>567</v>
      </c>
      <c r="D172" t="s">
        <v>17</v>
      </c>
      <c r="E172" t="s">
        <v>568</v>
      </c>
      <c r="F172" t="s">
        <v>37</v>
      </c>
      <c r="G172">
        <v>23.2</v>
      </c>
      <c r="H172">
        <v>4.7</v>
      </c>
      <c r="I172">
        <v>12171</v>
      </c>
      <c r="J172">
        <v>13</v>
      </c>
      <c r="K172" t="s">
        <v>135</v>
      </c>
      <c r="L172">
        <v>2026</v>
      </c>
      <c r="M172" t="s">
        <v>569</v>
      </c>
      <c r="N172">
        <v>5475</v>
      </c>
      <c r="O172" t="s">
        <v>22</v>
      </c>
    </row>
    <row r="173" spans="1:15" x14ac:dyDescent="0.3">
      <c r="A173">
        <v>172</v>
      </c>
      <c r="B173" t="s">
        <v>570</v>
      </c>
      <c r="C173" t="s">
        <v>571</v>
      </c>
      <c r="D173" t="s">
        <v>25</v>
      </c>
      <c r="E173" t="s">
        <v>228</v>
      </c>
      <c r="F173" t="s">
        <v>247</v>
      </c>
      <c r="G173">
        <v>9.36</v>
      </c>
      <c r="H173">
        <v>4.4000000000000004</v>
      </c>
      <c r="I173">
        <v>5735</v>
      </c>
      <c r="J173">
        <v>15</v>
      </c>
      <c r="K173" t="s">
        <v>213</v>
      </c>
      <c r="L173">
        <v>2026</v>
      </c>
      <c r="M173" t="s">
        <v>572</v>
      </c>
      <c r="N173">
        <v>1694</v>
      </c>
      <c r="O173" t="s">
        <v>22</v>
      </c>
    </row>
    <row r="174" spans="1:15" x14ac:dyDescent="0.3">
      <c r="A174">
        <v>173</v>
      </c>
      <c r="B174" t="s">
        <v>573</v>
      </c>
      <c r="C174" t="s">
        <v>429</v>
      </c>
      <c r="D174" t="s">
        <v>17</v>
      </c>
      <c r="E174" t="s">
        <v>96</v>
      </c>
      <c r="F174" t="s">
        <v>247</v>
      </c>
      <c r="G174">
        <v>9.6</v>
      </c>
      <c r="H174">
        <v>4.3</v>
      </c>
      <c r="I174">
        <v>1971</v>
      </c>
      <c r="J174">
        <v>22</v>
      </c>
      <c r="K174" t="s">
        <v>349</v>
      </c>
      <c r="L174">
        <v>2025</v>
      </c>
      <c r="M174" t="s">
        <v>574</v>
      </c>
      <c r="N174">
        <v>1358</v>
      </c>
      <c r="O174" t="s">
        <v>22</v>
      </c>
    </row>
    <row r="175" spans="1:15" x14ac:dyDescent="0.3">
      <c r="A175">
        <v>174</v>
      </c>
      <c r="B175" t="s">
        <v>575</v>
      </c>
      <c r="C175" t="s">
        <v>302</v>
      </c>
      <c r="D175" t="s">
        <v>17</v>
      </c>
      <c r="E175" t="s">
        <v>311</v>
      </c>
      <c r="F175" t="s">
        <v>19</v>
      </c>
      <c r="G175">
        <v>16.05</v>
      </c>
      <c r="H175">
        <v>4.4000000000000004</v>
      </c>
      <c r="I175">
        <v>8354</v>
      </c>
      <c r="J175">
        <v>8</v>
      </c>
      <c r="K175" t="s">
        <v>470</v>
      </c>
      <c r="L175">
        <v>2023</v>
      </c>
      <c r="M175" t="s">
        <v>576</v>
      </c>
      <c r="N175">
        <v>6110</v>
      </c>
      <c r="O175" t="s">
        <v>22</v>
      </c>
    </row>
    <row r="176" spans="1:15" x14ac:dyDescent="0.3">
      <c r="A176">
        <v>175</v>
      </c>
      <c r="B176" t="s">
        <v>577</v>
      </c>
      <c r="C176" t="s">
        <v>286</v>
      </c>
      <c r="D176" t="s">
        <v>17</v>
      </c>
      <c r="E176" t="s">
        <v>86</v>
      </c>
      <c r="F176" t="s">
        <v>19</v>
      </c>
      <c r="G176">
        <v>9.8000000000000007</v>
      </c>
      <c r="H176">
        <v>4</v>
      </c>
      <c r="I176">
        <v>1859</v>
      </c>
      <c r="J176">
        <v>30</v>
      </c>
      <c r="K176" t="s">
        <v>144</v>
      </c>
      <c r="L176">
        <v>2019</v>
      </c>
      <c r="M176" t="s">
        <v>578</v>
      </c>
      <c r="N176">
        <v>760</v>
      </c>
      <c r="O176" t="s">
        <v>22</v>
      </c>
    </row>
    <row r="177" spans="1:15" x14ac:dyDescent="0.3">
      <c r="A177">
        <v>176</v>
      </c>
      <c r="B177" t="s">
        <v>579</v>
      </c>
      <c r="C177" t="s">
        <v>122</v>
      </c>
      <c r="D177" t="s">
        <v>17</v>
      </c>
      <c r="E177" t="s">
        <v>195</v>
      </c>
      <c r="F177" t="s">
        <v>243</v>
      </c>
      <c r="G177">
        <v>34.090000000000003</v>
      </c>
      <c r="H177">
        <v>4.4000000000000004</v>
      </c>
      <c r="I177">
        <v>4595</v>
      </c>
      <c r="J177">
        <v>30</v>
      </c>
      <c r="K177" t="s">
        <v>77</v>
      </c>
      <c r="L177">
        <v>2024</v>
      </c>
      <c r="M177" t="s">
        <v>580</v>
      </c>
      <c r="N177">
        <v>3630</v>
      </c>
      <c r="O177" t="s">
        <v>22</v>
      </c>
    </row>
    <row r="178" spans="1:15" x14ac:dyDescent="0.3">
      <c r="A178">
        <v>177</v>
      </c>
      <c r="B178" t="s">
        <v>581</v>
      </c>
      <c r="C178" t="s">
        <v>223</v>
      </c>
      <c r="D178" t="s">
        <v>17</v>
      </c>
      <c r="E178" t="s">
        <v>86</v>
      </c>
      <c r="F178" t="s">
        <v>19</v>
      </c>
      <c r="G178">
        <v>12.41</v>
      </c>
      <c r="H178">
        <v>4.4000000000000004</v>
      </c>
      <c r="I178">
        <v>11414</v>
      </c>
      <c r="J178">
        <v>30</v>
      </c>
      <c r="K178" t="s">
        <v>213</v>
      </c>
      <c r="L178">
        <v>2025</v>
      </c>
      <c r="M178" t="s">
        <v>582</v>
      </c>
      <c r="N178">
        <v>3964</v>
      </c>
      <c r="O178" t="s">
        <v>22</v>
      </c>
    </row>
    <row r="179" spans="1:15" x14ac:dyDescent="0.3">
      <c r="A179">
        <v>178</v>
      </c>
      <c r="B179" t="s">
        <v>583</v>
      </c>
      <c r="C179" t="s">
        <v>348</v>
      </c>
      <c r="D179" t="s">
        <v>17</v>
      </c>
      <c r="E179" t="s">
        <v>539</v>
      </c>
      <c r="F179" t="s">
        <v>37</v>
      </c>
      <c r="G179">
        <v>25.33</v>
      </c>
      <c r="H179">
        <v>4.4000000000000004</v>
      </c>
      <c r="I179">
        <v>2635</v>
      </c>
      <c r="J179">
        <v>28</v>
      </c>
      <c r="K179" t="s">
        <v>281</v>
      </c>
      <c r="L179">
        <v>2025</v>
      </c>
      <c r="M179" t="s">
        <v>584</v>
      </c>
      <c r="N179">
        <v>4497</v>
      </c>
      <c r="O179" t="s">
        <v>22</v>
      </c>
    </row>
    <row r="180" spans="1:15" x14ac:dyDescent="0.3">
      <c r="A180">
        <v>179</v>
      </c>
      <c r="B180" t="s">
        <v>585</v>
      </c>
      <c r="C180" t="s">
        <v>567</v>
      </c>
      <c r="D180" t="s">
        <v>17</v>
      </c>
      <c r="E180" t="s">
        <v>96</v>
      </c>
      <c r="F180" t="s">
        <v>247</v>
      </c>
      <c r="G180">
        <v>4.7</v>
      </c>
      <c r="H180">
        <v>4.0999999999999996</v>
      </c>
      <c r="I180">
        <v>1642</v>
      </c>
      <c r="J180">
        <v>29</v>
      </c>
      <c r="K180" t="s">
        <v>135</v>
      </c>
      <c r="L180">
        <v>2022</v>
      </c>
      <c r="M180" t="s">
        <v>586</v>
      </c>
      <c r="N180">
        <v>1198</v>
      </c>
      <c r="O180" t="s">
        <v>22</v>
      </c>
    </row>
    <row r="181" spans="1:15" x14ac:dyDescent="0.3">
      <c r="A181">
        <v>180</v>
      </c>
      <c r="B181" t="s">
        <v>587</v>
      </c>
      <c r="C181" t="s">
        <v>469</v>
      </c>
      <c r="D181" t="s">
        <v>25</v>
      </c>
      <c r="E181" t="s">
        <v>31</v>
      </c>
      <c r="F181" t="s">
        <v>247</v>
      </c>
      <c r="G181">
        <v>6.98</v>
      </c>
      <c r="H181">
        <v>4.5</v>
      </c>
      <c r="I181">
        <v>12773</v>
      </c>
      <c r="J181">
        <v>21</v>
      </c>
      <c r="K181" t="s">
        <v>335</v>
      </c>
      <c r="L181">
        <v>2023</v>
      </c>
      <c r="M181" t="s">
        <v>588</v>
      </c>
      <c r="N181">
        <v>6580</v>
      </c>
      <c r="O181" t="s">
        <v>22</v>
      </c>
    </row>
    <row r="182" spans="1:15" x14ac:dyDescent="0.3">
      <c r="A182">
        <v>181</v>
      </c>
      <c r="B182" t="s">
        <v>589</v>
      </c>
      <c r="C182" t="s">
        <v>590</v>
      </c>
      <c r="D182" t="s">
        <v>17</v>
      </c>
      <c r="E182" t="s">
        <v>591</v>
      </c>
      <c r="F182" t="s">
        <v>19</v>
      </c>
      <c r="G182">
        <v>10.75</v>
      </c>
      <c r="H182">
        <v>4.8</v>
      </c>
      <c r="I182">
        <v>3732</v>
      </c>
      <c r="J182">
        <v>16</v>
      </c>
      <c r="K182" t="s">
        <v>160</v>
      </c>
      <c r="L182">
        <v>2025</v>
      </c>
      <c r="M182" t="s">
        <v>592</v>
      </c>
      <c r="N182">
        <v>742</v>
      </c>
      <c r="O182" t="s">
        <v>22</v>
      </c>
    </row>
    <row r="183" spans="1:15" x14ac:dyDescent="0.3">
      <c r="A183">
        <v>182</v>
      </c>
      <c r="B183" t="s">
        <v>593</v>
      </c>
      <c r="C183" t="s">
        <v>594</v>
      </c>
      <c r="D183" t="s">
        <v>17</v>
      </c>
      <c r="E183" t="s">
        <v>81</v>
      </c>
      <c r="F183" t="s">
        <v>243</v>
      </c>
      <c r="G183">
        <v>30.61</v>
      </c>
      <c r="H183">
        <v>4.7</v>
      </c>
      <c r="I183">
        <v>3103</v>
      </c>
      <c r="J183">
        <v>24</v>
      </c>
      <c r="K183" t="s">
        <v>386</v>
      </c>
      <c r="L183">
        <v>2023</v>
      </c>
      <c r="M183" t="s">
        <v>595</v>
      </c>
      <c r="N183">
        <v>5329</v>
      </c>
      <c r="O183" t="s">
        <v>22</v>
      </c>
    </row>
    <row r="184" spans="1:15" x14ac:dyDescent="0.3">
      <c r="A184">
        <v>183</v>
      </c>
      <c r="B184" t="s">
        <v>596</v>
      </c>
      <c r="C184" t="s">
        <v>597</v>
      </c>
      <c r="D184" t="s">
        <v>17</v>
      </c>
      <c r="E184" t="s">
        <v>299</v>
      </c>
      <c r="F184" t="s">
        <v>19</v>
      </c>
      <c r="G184">
        <v>15.3</v>
      </c>
      <c r="H184">
        <v>4.7</v>
      </c>
      <c r="I184">
        <v>9269</v>
      </c>
      <c r="J184">
        <v>22</v>
      </c>
      <c r="K184" t="s">
        <v>164</v>
      </c>
      <c r="L184">
        <v>2018</v>
      </c>
      <c r="M184" t="s">
        <v>598</v>
      </c>
      <c r="N184">
        <v>5874</v>
      </c>
      <c r="O184" t="s">
        <v>22</v>
      </c>
    </row>
    <row r="185" spans="1:15" x14ac:dyDescent="0.3">
      <c r="A185">
        <v>184</v>
      </c>
      <c r="B185" t="s">
        <v>599</v>
      </c>
      <c r="C185" t="s">
        <v>600</v>
      </c>
      <c r="D185" t="s">
        <v>25</v>
      </c>
      <c r="E185" t="s">
        <v>228</v>
      </c>
      <c r="F185" t="s">
        <v>247</v>
      </c>
      <c r="G185">
        <v>8.69</v>
      </c>
      <c r="H185">
        <v>4.0999999999999996</v>
      </c>
      <c r="I185">
        <v>614</v>
      </c>
      <c r="J185">
        <v>14</v>
      </c>
      <c r="K185" t="s">
        <v>303</v>
      </c>
      <c r="L185">
        <v>2016</v>
      </c>
      <c r="M185" t="s">
        <v>601</v>
      </c>
      <c r="N185">
        <v>2715</v>
      </c>
      <c r="O185" t="s">
        <v>22</v>
      </c>
    </row>
    <row r="186" spans="1:15" x14ac:dyDescent="0.3">
      <c r="A186">
        <v>185</v>
      </c>
      <c r="B186" t="s">
        <v>602</v>
      </c>
      <c r="C186" t="s">
        <v>603</v>
      </c>
      <c r="D186" t="s">
        <v>17</v>
      </c>
      <c r="E186" t="s">
        <v>96</v>
      </c>
      <c r="F186" t="s">
        <v>37</v>
      </c>
      <c r="G186">
        <v>27.35</v>
      </c>
      <c r="H186">
        <v>4.3</v>
      </c>
      <c r="I186">
        <v>969</v>
      </c>
      <c r="J186">
        <v>14</v>
      </c>
      <c r="K186" t="s">
        <v>326</v>
      </c>
      <c r="L186">
        <v>2021</v>
      </c>
      <c r="M186" t="s">
        <v>604</v>
      </c>
      <c r="N186">
        <v>6462</v>
      </c>
      <c r="O186" t="s">
        <v>22</v>
      </c>
    </row>
    <row r="187" spans="1:15" x14ac:dyDescent="0.3">
      <c r="A187">
        <v>186</v>
      </c>
      <c r="B187" t="s">
        <v>605</v>
      </c>
      <c r="C187" t="s">
        <v>461</v>
      </c>
      <c r="D187" t="s">
        <v>25</v>
      </c>
      <c r="E187" t="s">
        <v>296</v>
      </c>
      <c r="F187" t="s">
        <v>37</v>
      </c>
      <c r="G187">
        <v>21.89</v>
      </c>
      <c r="H187">
        <v>4</v>
      </c>
      <c r="I187">
        <v>7220</v>
      </c>
      <c r="J187">
        <v>10</v>
      </c>
      <c r="K187" t="s">
        <v>213</v>
      </c>
      <c r="L187">
        <v>2023</v>
      </c>
      <c r="M187" t="s">
        <v>606</v>
      </c>
      <c r="N187">
        <v>418</v>
      </c>
      <c r="O187" t="s">
        <v>22</v>
      </c>
    </row>
    <row r="188" spans="1:15" x14ac:dyDescent="0.3">
      <c r="A188">
        <v>187</v>
      </c>
      <c r="B188" t="s">
        <v>607</v>
      </c>
      <c r="C188" t="s">
        <v>608</v>
      </c>
      <c r="D188" t="s">
        <v>25</v>
      </c>
      <c r="E188" t="s">
        <v>277</v>
      </c>
      <c r="F188" t="s">
        <v>37</v>
      </c>
      <c r="G188">
        <v>27.21</v>
      </c>
      <c r="H188">
        <v>4.5999999999999996</v>
      </c>
      <c r="I188">
        <v>6809</v>
      </c>
      <c r="J188">
        <v>4</v>
      </c>
      <c r="K188" t="s">
        <v>164</v>
      </c>
      <c r="L188">
        <v>2020</v>
      </c>
      <c r="M188" t="s">
        <v>609</v>
      </c>
      <c r="N188">
        <v>2163</v>
      </c>
      <c r="O188" t="s">
        <v>22</v>
      </c>
    </row>
    <row r="189" spans="1:15" x14ac:dyDescent="0.3">
      <c r="A189">
        <v>188</v>
      </c>
      <c r="B189" t="s">
        <v>610</v>
      </c>
      <c r="C189" t="s">
        <v>280</v>
      </c>
      <c r="D189" t="s">
        <v>17</v>
      </c>
      <c r="E189" t="s">
        <v>96</v>
      </c>
      <c r="F189" t="s">
        <v>19</v>
      </c>
      <c r="G189">
        <v>13.85</v>
      </c>
      <c r="H189">
        <v>4.7</v>
      </c>
      <c r="I189">
        <v>4833</v>
      </c>
      <c r="J189">
        <v>2</v>
      </c>
      <c r="K189" t="s">
        <v>470</v>
      </c>
      <c r="L189">
        <v>2026</v>
      </c>
      <c r="M189" t="s">
        <v>611</v>
      </c>
      <c r="N189">
        <v>4026</v>
      </c>
      <c r="O189" t="s">
        <v>22</v>
      </c>
    </row>
    <row r="190" spans="1:15" x14ac:dyDescent="0.3">
      <c r="A190">
        <v>189</v>
      </c>
      <c r="B190" t="s">
        <v>612</v>
      </c>
      <c r="C190" t="s">
        <v>369</v>
      </c>
      <c r="D190" t="s">
        <v>25</v>
      </c>
      <c r="E190" t="s">
        <v>105</v>
      </c>
      <c r="F190" t="s">
        <v>37</v>
      </c>
      <c r="G190">
        <v>18.34</v>
      </c>
      <c r="H190">
        <v>4</v>
      </c>
      <c r="I190">
        <v>12346</v>
      </c>
      <c r="J190">
        <v>26</v>
      </c>
      <c r="K190" t="s">
        <v>312</v>
      </c>
      <c r="L190">
        <v>2021</v>
      </c>
      <c r="M190" t="s">
        <v>613</v>
      </c>
      <c r="N190">
        <v>688</v>
      </c>
      <c r="O190" t="s">
        <v>22</v>
      </c>
    </row>
    <row r="191" spans="1:15" x14ac:dyDescent="0.3">
      <c r="A191">
        <v>190</v>
      </c>
      <c r="B191" t="s">
        <v>614</v>
      </c>
      <c r="C191" t="s">
        <v>187</v>
      </c>
      <c r="D191" t="s">
        <v>17</v>
      </c>
      <c r="E191" t="s">
        <v>18</v>
      </c>
      <c r="F191" t="s">
        <v>19</v>
      </c>
      <c r="G191">
        <v>10.050000000000001</v>
      </c>
      <c r="H191">
        <v>4.3</v>
      </c>
      <c r="I191">
        <v>296</v>
      </c>
      <c r="J191">
        <v>22</v>
      </c>
      <c r="K191" t="s">
        <v>312</v>
      </c>
      <c r="L191">
        <v>2024</v>
      </c>
      <c r="M191" t="s">
        <v>615</v>
      </c>
      <c r="N191">
        <v>3310</v>
      </c>
      <c r="O191" t="s">
        <v>22</v>
      </c>
    </row>
    <row r="192" spans="1:15" x14ac:dyDescent="0.3">
      <c r="A192">
        <v>191</v>
      </c>
      <c r="B192" t="s">
        <v>616</v>
      </c>
      <c r="C192" t="s">
        <v>617</v>
      </c>
      <c r="D192" t="s">
        <v>25</v>
      </c>
      <c r="E192" t="s">
        <v>277</v>
      </c>
      <c r="F192" t="s">
        <v>247</v>
      </c>
      <c r="G192">
        <v>11.16</v>
      </c>
      <c r="H192">
        <v>4.5</v>
      </c>
      <c r="I192">
        <v>10588</v>
      </c>
      <c r="J192">
        <v>6</v>
      </c>
      <c r="K192" t="s">
        <v>386</v>
      </c>
      <c r="L192">
        <v>2019</v>
      </c>
      <c r="M192" t="s">
        <v>618</v>
      </c>
      <c r="N192">
        <v>1540</v>
      </c>
      <c r="O192" t="s">
        <v>22</v>
      </c>
    </row>
    <row r="193" spans="1:15" x14ac:dyDescent="0.3">
      <c r="A193">
        <v>192</v>
      </c>
      <c r="B193" t="s">
        <v>619</v>
      </c>
      <c r="C193" t="s">
        <v>620</v>
      </c>
      <c r="D193" t="s">
        <v>25</v>
      </c>
      <c r="E193" t="s">
        <v>268</v>
      </c>
      <c r="F193" t="s">
        <v>19</v>
      </c>
      <c r="G193">
        <v>14.54</v>
      </c>
      <c r="H193">
        <v>4.2</v>
      </c>
      <c r="I193">
        <v>4340</v>
      </c>
      <c r="J193">
        <v>8</v>
      </c>
      <c r="K193" t="s">
        <v>303</v>
      </c>
      <c r="L193">
        <v>2016</v>
      </c>
      <c r="M193" t="s">
        <v>621</v>
      </c>
      <c r="N193">
        <v>4162</v>
      </c>
      <c r="O193" t="s">
        <v>22</v>
      </c>
    </row>
    <row r="194" spans="1:15" x14ac:dyDescent="0.3">
      <c r="A194">
        <v>193</v>
      </c>
      <c r="B194" t="s">
        <v>622</v>
      </c>
      <c r="C194" t="s">
        <v>434</v>
      </c>
      <c r="D194" t="s">
        <v>25</v>
      </c>
      <c r="E194" t="s">
        <v>228</v>
      </c>
      <c r="F194" t="s">
        <v>19</v>
      </c>
      <c r="G194">
        <v>10.73</v>
      </c>
      <c r="H194">
        <v>4.2</v>
      </c>
      <c r="I194">
        <v>11003</v>
      </c>
      <c r="J194">
        <v>11</v>
      </c>
      <c r="K194" t="s">
        <v>209</v>
      </c>
      <c r="L194">
        <v>2024</v>
      </c>
      <c r="M194" t="s">
        <v>623</v>
      </c>
      <c r="N194">
        <v>3894</v>
      </c>
      <c r="O194" t="s">
        <v>22</v>
      </c>
    </row>
    <row r="195" spans="1:15" x14ac:dyDescent="0.3">
      <c r="A195">
        <v>194</v>
      </c>
      <c r="B195" t="s">
        <v>624</v>
      </c>
      <c r="C195" t="s">
        <v>625</v>
      </c>
      <c r="D195" t="s">
        <v>25</v>
      </c>
      <c r="E195" t="s">
        <v>259</v>
      </c>
      <c r="F195" t="s">
        <v>37</v>
      </c>
      <c r="G195">
        <v>19.28</v>
      </c>
      <c r="H195">
        <v>4.4000000000000004</v>
      </c>
      <c r="I195">
        <v>10138</v>
      </c>
      <c r="J195">
        <v>4</v>
      </c>
      <c r="K195" t="s">
        <v>213</v>
      </c>
      <c r="L195">
        <v>2025</v>
      </c>
      <c r="M195" t="s">
        <v>626</v>
      </c>
      <c r="N195">
        <v>6347</v>
      </c>
      <c r="O195" t="s">
        <v>22</v>
      </c>
    </row>
    <row r="196" spans="1:15" x14ac:dyDescent="0.3">
      <c r="A196">
        <v>195</v>
      </c>
      <c r="B196" t="s">
        <v>627</v>
      </c>
      <c r="C196" t="s">
        <v>628</v>
      </c>
      <c r="D196" t="s">
        <v>17</v>
      </c>
      <c r="E196" t="s">
        <v>58</v>
      </c>
      <c r="F196" t="s">
        <v>19</v>
      </c>
      <c r="G196">
        <v>15.94</v>
      </c>
      <c r="H196">
        <v>4.4000000000000004</v>
      </c>
      <c r="I196">
        <v>7813</v>
      </c>
      <c r="J196">
        <v>18</v>
      </c>
      <c r="K196" t="s">
        <v>189</v>
      </c>
      <c r="L196">
        <v>2022</v>
      </c>
      <c r="M196" t="s">
        <v>629</v>
      </c>
      <c r="N196">
        <v>5420</v>
      </c>
      <c r="O196" t="s">
        <v>22</v>
      </c>
    </row>
    <row r="197" spans="1:15" x14ac:dyDescent="0.3">
      <c r="A197">
        <v>196</v>
      </c>
      <c r="B197" t="s">
        <v>630</v>
      </c>
      <c r="C197" t="s">
        <v>631</v>
      </c>
      <c r="D197" t="s">
        <v>25</v>
      </c>
      <c r="E197" t="s">
        <v>285</v>
      </c>
      <c r="F197" t="s">
        <v>19</v>
      </c>
      <c r="G197">
        <v>9.3800000000000008</v>
      </c>
      <c r="H197">
        <v>4.2</v>
      </c>
      <c r="I197">
        <v>3587</v>
      </c>
      <c r="J197">
        <v>18</v>
      </c>
      <c r="K197" t="s">
        <v>77</v>
      </c>
      <c r="L197">
        <v>2026</v>
      </c>
      <c r="M197" t="s">
        <v>632</v>
      </c>
      <c r="N197">
        <v>718</v>
      </c>
      <c r="O197" t="s">
        <v>22</v>
      </c>
    </row>
    <row r="198" spans="1:15" x14ac:dyDescent="0.3">
      <c r="A198">
        <v>197</v>
      </c>
      <c r="B198" t="s">
        <v>633</v>
      </c>
      <c r="C198" t="s">
        <v>634</v>
      </c>
      <c r="D198" t="s">
        <v>25</v>
      </c>
      <c r="E198" t="s">
        <v>412</v>
      </c>
      <c r="F198" t="s">
        <v>260</v>
      </c>
      <c r="G198">
        <v>9.5500000000000007</v>
      </c>
      <c r="H198">
        <v>4</v>
      </c>
      <c r="I198">
        <v>5853</v>
      </c>
      <c r="J198">
        <v>17</v>
      </c>
      <c r="K198" t="s">
        <v>286</v>
      </c>
      <c r="L198">
        <v>2025</v>
      </c>
      <c r="M198" t="s">
        <v>635</v>
      </c>
      <c r="N198">
        <v>1750</v>
      </c>
      <c r="O198" t="s">
        <v>22</v>
      </c>
    </row>
    <row r="199" spans="1:15" x14ac:dyDescent="0.3">
      <c r="A199">
        <v>198</v>
      </c>
      <c r="B199" t="s">
        <v>636</v>
      </c>
      <c r="C199" t="s">
        <v>402</v>
      </c>
      <c r="D199" t="s">
        <v>25</v>
      </c>
      <c r="E199" t="s">
        <v>91</v>
      </c>
      <c r="F199" t="s">
        <v>37</v>
      </c>
      <c r="G199">
        <v>23.22</v>
      </c>
      <c r="H199">
        <v>4.7</v>
      </c>
      <c r="I199">
        <v>9879</v>
      </c>
      <c r="J199">
        <v>7</v>
      </c>
      <c r="K199" t="s">
        <v>205</v>
      </c>
      <c r="L199">
        <v>2024</v>
      </c>
      <c r="M199" t="s">
        <v>637</v>
      </c>
      <c r="N199">
        <v>5094</v>
      </c>
      <c r="O199" t="s">
        <v>22</v>
      </c>
    </row>
    <row r="200" spans="1:15" x14ac:dyDescent="0.3">
      <c r="A200">
        <v>199</v>
      </c>
      <c r="B200" t="s">
        <v>638</v>
      </c>
      <c r="C200" t="s">
        <v>639</v>
      </c>
      <c r="D200" t="s">
        <v>25</v>
      </c>
      <c r="E200" t="s">
        <v>101</v>
      </c>
      <c r="F200" t="s">
        <v>37</v>
      </c>
      <c r="G200">
        <v>29.9</v>
      </c>
      <c r="H200">
        <v>4.5</v>
      </c>
      <c r="I200">
        <v>13804</v>
      </c>
      <c r="J200">
        <v>15</v>
      </c>
      <c r="K200" t="s">
        <v>640</v>
      </c>
      <c r="L200">
        <v>2023</v>
      </c>
      <c r="M200" t="s">
        <v>641</v>
      </c>
      <c r="N200">
        <v>2564</v>
      </c>
      <c r="O200" t="s">
        <v>22</v>
      </c>
    </row>
    <row r="201" spans="1:15" x14ac:dyDescent="0.3">
      <c r="A201">
        <v>200</v>
      </c>
      <c r="B201" t="s">
        <v>642</v>
      </c>
      <c r="C201" t="s">
        <v>492</v>
      </c>
      <c r="D201" t="s">
        <v>17</v>
      </c>
      <c r="E201" t="s">
        <v>311</v>
      </c>
      <c r="F201" t="s">
        <v>247</v>
      </c>
      <c r="G201">
        <v>9.44</v>
      </c>
      <c r="H201">
        <v>4.3</v>
      </c>
      <c r="I201">
        <v>3106</v>
      </c>
      <c r="J201">
        <v>17</v>
      </c>
      <c r="K201" t="s">
        <v>286</v>
      </c>
      <c r="L201">
        <v>2026</v>
      </c>
      <c r="M201" t="s">
        <v>643</v>
      </c>
      <c r="N201">
        <v>1163</v>
      </c>
      <c r="O201" t="s">
        <v>22</v>
      </c>
    </row>
    <row r="202" spans="1:15" x14ac:dyDescent="0.3">
      <c r="A202">
        <v>201</v>
      </c>
      <c r="B202" t="s">
        <v>644</v>
      </c>
      <c r="C202" t="s">
        <v>645</v>
      </c>
      <c r="D202" t="s">
        <v>17</v>
      </c>
      <c r="E202" t="s">
        <v>539</v>
      </c>
      <c r="F202" t="s">
        <v>19</v>
      </c>
      <c r="G202">
        <v>16.23</v>
      </c>
      <c r="H202">
        <v>4.8</v>
      </c>
      <c r="I202">
        <v>9639</v>
      </c>
      <c r="J202">
        <v>5</v>
      </c>
      <c r="K202" t="s">
        <v>140</v>
      </c>
      <c r="L202">
        <v>2021</v>
      </c>
      <c r="M202" t="s">
        <v>646</v>
      </c>
      <c r="N202">
        <v>2722</v>
      </c>
      <c r="O202" t="s">
        <v>22</v>
      </c>
    </row>
    <row r="203" spans="1:15" x14ac:dyDescent="0.3">
      <c r="A203">
        <v>202</v>
      </c>
      <c r="B203" t="s">
        <v>647</v>
      </c>
      <c r="C203" t="s">
        <v>648</v>
      </c>
      <c r="D203" t="s">
        <v>17</v>
      </c>
      <c r="E203" t="s">
        <v>18</v>
      </c>
      <c r="F203" t="s">
        <v>19</v>
      </c>
      <c r="G203">
        <v>10.38</v>
      </c>
      <c r="H203">
        <v>4.0999999999999996</v>
      </c>
      <c r="I203">
        <v>10875</v>
      </c>
      <c r="J203">
        <v>20</v>
      </c>
      <c r="K203" t="s">
        <v>377</v>
      </c>
      <c r="L203">
        <v>2019</v>
      </c>
      <c r="M203" t="s">
        <v>649</v>
      </c>
      <c r="N203">
        <v>2661</v>
      </c>
      <c r="O203" t="s">
        <v>22</v>
      </c>
    </row>
    <row r="204" spans="1:15" x14ac:dyDescent="0.3">
      <c r="A204">
        <v>203</v>
      </c>
      <c r="B204" t="s">
        <v>650</v>
      </c>
      <c r="C204" t="s">
        <v>651</v>
      </c>
      <c r="D204" t="s">
        <v>25</v>
      </c>
      <c r="E204" t="s">
        <v>91</v>
      </c>
      <c r="F204" t="s">
        <v>19</v>
      </c>
      <c r="G204">
        <v>16.04</v>
      </c>
      <c r="H204">
        <v>4.5</v>
      </c>
      <c r="I204">
        <v>8528</v>
      </c>
      <c r="J204">
        <v>14</v>
      </c>
      <c r="K204" t="s">
        <v>360</v>
      </c>
      <c r="L204">
        <v>2025</v>
      </c>
      <c r="M204" t="s">
        <v>652</v>
      </c>
      <c r="N204">
        <v>1722</v>
      </c>
      <c r="O204" t="s">
        <v>22</v>
      </c>
    </row>
    <row r="205" spans="1:15" x14ac:dyDescent="0.3">
      <c r="A205">
        <v>204</v>
      </c>
      <c r="B205" t="s">
        <v>653</v>
      </c>
      <c r="C205" t="s">
        <v>199</v>
      </c>
      <c r="D205" t="s">
        <v>17</v>
      </c>
      <c r="E205" t="s">
        <v>299</v>
      </c>
      <c r="F205" t="s">
        <v>247</v>
      </c>
      <c r="G205">
        <v>12.37</v>
      </c>
      <c r="H205">
        <v>4.4000000000000004</v>
      </c>
      <c r="I205">
        <v>6764</v>
      </c>
      <c r="J205">
        <v>21</v>
      </c>
      <c r="K205" t="s">
        <v>20</v>
      </c>
      <c r="L205">
        <v>2024</v>
      </c>
      <c r="M205" t="s">
        <v>654</v>
      </c>
      <c r="N205">
        <v>5653</v>
      </c>
      <c r="O205" t="s">
        <v>22</v>
      </c>
    </row>
    <row r="206" spans="1:15" x14ac:dyDescent="0.3">
      <c r="A206">
        <v>205</v>
      </c>
      <c r="B206" t="s">
        <v>655</v>
      </c>
      <c r="C206" t="s">
        <v>656</v>
      </c>
      <c r="D206" t="s">
        <v>25</v>
      </c>
      <c r="E206" t="s">
        <v>370</v>
      </c>
      <c r="F206" t="s">
        <v>19</v>
      </c>
      <c r="G206">
        <v>10.41</v>
      </c>
      <c r="H206">
        <v>4.8</v>
      </c>
      <c r="I206">
        <v>5985</v>
      </c>
      <c r="J206">
        <v>23</v>
      </c>
      <c r="K206" t="s">
        <v>640</v>
      </c>
      <c r="L206">
        <v>2021</v>
      </c>
      <c r="M206" t="s">
        <v>657</v>
      </c>
      <c r="N206">
        <v>1148</v>
      </c>
      <c r="O206" t="s">
        <v>22</v>
      </c>
    </row>
    <row r="207" spans="1:15" x14ac:dyDescent="0.3">
      <c r="A207">
        <v>206</v>
      </c>
      <c r="B207" t="s">
        <v>658</v>
      </c>
      <c r="C207" t="s">
        <v>659</v>
      </c>
      <c r="D207" t="s">
        <v>17</v>
      </c>
      <c r="E207" t="s">
        <v>591</v>
      </c>
      <c r="F207" t="s">
        <v>19</v>
      </c>
      <c r="G207">
        <v>9.64</v>
      </c>
      <c r="H207">
        <v>4.4000000000000004</v>
      </c>
      <c r="I207">
        <v>5021</v>
      </c>
      <c r="J207">
        <v>12</v>
      </c>
      <c r="K207" t="s">
        <v>660</v>
      </c>
      <c r="L207">
        <v>2026</v>
      </c>
      <c r="M207" t="s">
        <v>661</v>
      </c>
      <c r="N207">
        <v>2461</v>
      </c>
      <c r="O207" t="s">
        <v>22</v>
      </c>
    </row>
    <row r="208" spans="1:15" x14ac:dyDescent="0.3">
      <c r="A208">
        <v>207</v>
      </c>
      <c r="B208" t="s">
        <v>662</v>
      </c>
      <c r="C208" t="s">
        <v>663</v>
      </c>
      <c r="D208" t="s">
        <v>17</v>
      </c>
      <c r="E208" t="s">
        <v>96</v>
      </c>
      <c r="F208" t="s">
        <v>37</v>
      </c>
      <c r="G208">
        <v>19.98</v>
      </c>
      <c r="H208">
        <v>4.0999999999999996</v>
      </c>
      <c r="I208">
        <v>8662</v>
      </c>
      <c r="J208">
        <v>19</v>
      </c>
      <c r="K208" t="s">
        <v>140</v>
      </c>
      <c r="L208">
        <v>2010</v>
      </c>
      <c r="M208" t="s">
        <v>664</v>
      </c>
      <c r="N208">
        <v>5932</v>
      </c>
      <c r="O208" t="s">
        <v>22</v>
      </c>
    </row>
    <row r="209" spans="1:15" x14ac:dyDescent="0.3">
      <c r="A209">
        <v>208</v>
      </c>
      <c r="B209" t="s">
        <v>665</v>
      </c>
      <c r="C209" t="s">
        <v>358</v>
      </c>
      <c r="D209" t="s">
        <v>25</v>
      </c>
      <c r="E209" t="s">
        <v>409</v>
      </c>
      <c r="F209" t="s">
        <v>247</v>
      </c>
      <c r="G209">
        <v>11.84</v>
      </c>
      <c r="H209">
        <v>5</v>
      </c>
      <c r="I209">
        <v>3587</v>
      </c>
      <c r="J209">
        <v>9</v>
      </c>
      <c r="K209" t="s">
        <v>148</v>
      </c>
      <c r="L209">
        <v>2018</v>
      </c>
      <c r="M209" t="s">
        <v>666</v>
      </c>
      <c r="N209">
        <v>1398</v>
      </c>
      <c r="O209" t="s">
        <v>22</v>
      </c>
    </row>
    <row r="210" spans="1:15" x14ac:dyDescent="0.3">
      <c r="A210">
        <v>209</v>
      </c>
      <c r="B210" t="s">
        <v>667</v>
      </c>
      <c r="C210" t="s">
        <v>668</v>
      </c>
      <c r="D210" t="s">
        <v>17</v>
      </c>
      <c r="E210" t="s">
        <v>311</v>
      </c>
      <c r="F210" t="s">
        <v>19</v>
      </c>
      <c r="G210">
        <v>15.74</v>
      </c>
      <c r="H210">
        <v>4.5999999999999996</v>
      </c>
      <c r="I210">
        <v>7133</v>
      </c>
      <c r="J210">
        <v>17</v>
      </c>
      <c r="K210" t="s">
        <v>426</v>
      </c>
      <c r="L210">
        <v>2026</v>
      </c>
      <c r="M210" t="s">
        <v>669</v>
      </c>
      <c r="N210">
        <v>4163</v>
      </c>
      <c r="O210" t="s">
        <v>22</v>
      </c>
    </row>
    <row r="211" spans="1:15" x14ac:dyDescent="0.3">
      <c r="A211">
        <v>210</v>
      </c>
      <c r="B211" t="s">
        <v>670</v>
      </c>
      <c r="C211" t="s">
        <v>671</v>
      </c>
      <c r="D211" t="s">
        <v>17</v>
      </c>
      <c r="E211" t="s">
        <v>184</v>
      </c>
      <c r="F211" t="s">
        <v>19</v>
      </c>
      <c r="G211">
        <v>13.23</v>
      </c>
      <c r="H211">
        <v>4.5999999999999996</v>
      </c>
      <c r="I211">
        <v>10244</v>
      </c>
      <c r="J211">
        <v>12</v>
      </c>
      <c r="K211" t="s">
        <v>271</v>
      </c>
      <c r="L211">
        <v>2020</v>
      </c>
      <c r="M211" t="s">
        <v>672</v>
      </c>
      <c r="N211">
        <v>3410</v>
      </c>
      <c r="O211" t="s">
        <v>22</v>
      </c>
    </row>
    <row r="212" spans="1:15" x14ac:dyDescent="0.3">
      <c r="A212">
        <v>211</v>
      </c>
      <c r="B212" t="s">
        <v>673</v>
      </c>
      <c r="C212" t="s">
        <v>461</v>
      </c>
      <c r="D212" t="s">
        <v>25</v>
      </c>
      <c r="E212" t="s">
        <v>268</v>
      </c>
      <c r="F212" t="s">
        <v>19</v>
      </c>
      <c r="G212">
        <v>16.239999999999998</v>
      </c>
      <c r="H212">
        <v>4.5</v>
      </c>
      <c r="I212">
        <v>14835</v>
      </c>
      <c r="J212">
        <v>29</v>
      </c>
      <c r="K212" t="s">
        <v>377</v>
      </c>
      <c r="L212">
        <v>2024</v>
      </c>
      <c r="M212" t="s">
        <v>674</v>
      </c>
      <c r="N212">
        <v>5027</v>
      </c>
      <c r="O212" t="s">
        <v>22</v>
      </c>
    </row>
    <row r="213" spans="1:15" x14ac:dyDescent="0.3">
      <c r="A213">
        <v>212</v>
      </c>
      <c r="B213" t="s">
        <v>675</v>
      </c>
      <c r="C213" t="s">
        <v>158</v>
      </c>
      <c r="D213" t="s">
        <v>17</v>
      </c>
      <c r="E213" t="s">
        <v>58</v>
      </c>
      <c r="F213" t="s">
        <v>37</v>
      </c>
      <c r="G213">
        <v>29.1</v>
      </c>
      <c r="H213">
        <v>4.7</v>
      </c>
      <c r="I213">
        <v>4422</v>
      </c>
      <c r="J213">
        <v>13</v>
      </c>
      <c r="K213" t="s">
        <v>48</v>
      </c>
      <c r="L213">
        <v>2011</v>
      </c>
      <c r="M213" t="s">
        <v>676</v>
      </c>
      <c r="N213">
        <v>5149</v>
      </c>
      <c r="O213" t="s">
        <v>22</v>
      </c>
    </row>
    <row r="214" spans="1:15" x14ac:dyDescent="0.3">
      <c r="A214">
        <v>213</v>
      </c>
      <c r="B214" t="s">
        <v>677</v>
      </c>
      <c r="C214" t="s">
        <v>318</v>
      </c>
      <c r="D214" t="s">
        <v>17</v>
      </c>
      <c r="E214" t="s">
        <v>232</v>
      </c>
      <c r="F214" t="s">
        <v>243</v>
      </c>
      <c r="G214">
        <v>27.8</v>
      </c>
      <c r="H214">
        <v>4.5999999999999996</v>
      </c>
      <c r="I214">
        <v>10232</v>
      </c>
      <c r="J214">
        <v>20</v>
      </c>
      <c r="K214" t="s">
        <v>312</v>
      </c>
      <c r="L214">
        <v>2021</v>
      </c>
      <c r="M214" t="s">
        <v>678</v>
      </c>
      <c r="N214">
        <v>2994</v>
      </c>
      <c r="O214" t="s">
        <v>22</v>
      </c>
    </row>
    <row r="215" spans="1:15" x14ac:dyDescent="0.3">
      <c r="A215">
        <v>214</v>
      </c>
      <c r="B215" t="s">
        <v>679</v>
      </c>
      <c r="C215" t="s">
        <v>680</v>
      </c>
      <c r="D215" t="s">
        <v>25</v>
      </c>
      <c r="E215" t="s">
        <v>359</v>
      </c>
      <c r="F215" t="s">
        <v>19</v>
      </c>
      <c r="G215">
        <v>11.25</v>
      </c>
      <c r="H215">
        <v>4.3</v>
      </c>
      <c r="I215">
        <v>12387</v>
      </c>
      <c r="J215">
        <v>24</v>
      </c>
      <c r="K215" t="s">
        <v>164</v>
      </c>
      <c r="L215">
        <v>2025</v>
      </c>
      <c r="M215" t="s">
        <v>681</v>
      </c>
      <c r="N215">
        <v>950</v>
      </c>
      <c r="O215" t="s">
        <v>22</v>
      </c>
    </row>
    <row r="216" spans="1:15" x14ac:dyDescent="0.3">
      <c r="A216">
        <v>215</v>
      </c>
      <c r="B216" t="s">
        <v>682</v>
      </c>
      <c r="C216" t="s">
        <v>683</v>
      </c>
      <c r="D216" t="s">
        <v>25</v>
      </c>
      <c r="E216" t="s">
        <v>259</v>
      </c>
      <c r="F216" t="s">
        <v>19</v>
      </c>
      <c r="G216">
        <v>11.55</v>
      </c>
      <c r="H216">
        <v>4.3</v>
      </c>
      <c r="I216">
        <v>13938</v>
      </c>
      <c r="J216">
        <v>7</v>
      </c>
      <c r="K216" t="s">
        <v>303</v>
      </c>
      <c r="L216">
        <v>2012</v>
      </c>
      <c r="M216" t="s">
        <v>684</v>
      </c>
      <c r="N216">
        <v>4257</v>
      </c>
      <c r="O216" t="s">
        <v>22</v>
      </c>
    </row>
    <row r="217" spans="1:15" x14ac:dyDescent="0.3">
      <c r="A217">
        <v>216</v>
      </c>
      <c r="B217" t="s">
        <v>685</v>
      </c>
      <c r="C217" t="s">
        <v>594</v>
      </c>
      <c r="D217" t="s">
        <v>17</v>
      </c>
      <c r="E217" t="s">
        <v>511</v>
      </c>
      <c r="F217" t="s">
        <v>37</v>
      </c>
      <c r="G217">
        <v>27.45</v>
      </c>
      <c r="H217">
        <v>4.3</v>
      </c>
      <c r="I217">
        <v>7439</v>
      </c>
      <c r="J217">
        <v>11</v>
      </c>
      <c r="K217" t="s">
        <v>140</v>
      </c>
      <c r="L217">
        <v>2020</v>
      </c>
      <c r="M217" t="s">
        <v>686</v>
      </c>
      <c r="N217">
        <v>4719</v>
      </c>
      <c r="O217" t="s">
        <v>22</v>
      </c>
    </row>
    <row r="218" spans="1:15" x14ac:dyDescent="0.3">
      <c r="A218">
        <v>217</v>
      </c>
      <c r="B218" t="s">
        <v>687</v>
      </c>
      <c r="C218" t="s">
        <v>325</v>
      </c>
      <c r="D218" t="s">
        <v>17</v>
      </c>
      <c r="E218" t="s">
        <v>299</v>
      </c>
      <c r="F218" t="s">
        <v>247</v>
      </c>
      <c r="G218">
        <v>8.92</v>
      </c>
      <c r="H218">
        <v>4.5999999999999996</v>
      </c>
      <c r="I218">
        <v>7361</v>
      </c>
      <c r="J218">
        <v>14</v>
      </c>
      <c r="K218" t="s">
        <v>335</v>
      </c>
      <c r="L218">
        <v>2018</v>
      </c>
      <c r="M218" t="s">
        <v>688</v>
      </c>
      <c r="N218">
        <v>1082</v>
      </c>
      <c r="O218" t="s">
        <v>22</v>
      </c>
    </row>
    <row r="219" spans="1:15" x14ac:dyDescent="0.3">
      <c r="A219">
        <v>218</v>
      </c>
      <c r="B219" t="s">
        <v>689</v>
      </c>
      <c r="C219" t="s">
        <v>690</v>
      </c>
      <c r="D219" t="s">
        <v>25</v>
      </c>
      <c r="E219" t="s">
        <v>91</v>
      </c>
      <c r="F219" t="s">
        <v>37</v>
      </c>
      <c r="G219">
        <v>22.88</v>
      </c>
      <c r="H219">
        <v>4.9000000000000004</v>
      </c>
      <c r="I219">
        <v>11676</v>
      </c>
      <c r="J219">
        <v>21</v>
      </c>
      <c r="K219" t="s">
        <v>135</v>
      </c>
      <c r="L219">
        <v>2022</v>
      </c>
      <c r="M219" t="s">
        <v>691</v>
      </c>
      <c r="N219">
        <v>617</v>
      </c>
      <c r="O219" t="s">
        <v>22</v>
      </c>
    </row>
    <row r="220" spans="1:15" x14ac:dyDescent="0.3">
      <c r="A220">
        <v>219</v>
      </c>
      <c r="B220" t="s">
        <v>692</v>
      </c>
      <c r="C220" t="s">
        <v>492</v>
      </c>
      <c r="D220" t="s">
        <v>17</v>
      </c>
      <c r="E220" t="s">
        <v>195</v>
      </c>
      <c r="F220" t="s">
        <v>19</v>
      </c>
      <c r="G220">
        <v>16.190000000000001</v>
      </c>
      <c r="H220">
        <v>4.7</v>
      </c>
      <c r="I220">
        <v>13166</v>
      </c>
      <c r="J220">
        <v>3</v>
      </c>
      <c r="K220" t="s">
        <v>403</v>
      </c>
      <c r="L220">
        <v>2020</v>
      </c>
      <c r="M220" t="s">
        <v>693</v>
      </c>
      <c r="N220">
        <v>1022</v>
      </c>
      <c r="O220" t="s">
        <v>22</v>
      </c>
    </row>
    <row r="221" spans="1:15" x14ac:dyDescent="0.3">
      <c r="A221">
        <v>220</v>
      </c>
      <c r="B221" t="s">
        <v>694</v>
      </c>
      <c r="C221" t="s">
        <v>547</v>
      </c>
      <c r="D221" t="s">
        <v>17</v>
      </c>
      <c r="E221" t="s">
        <v>232</v>
      </c>
      <c r="F221" t="s">
        <v>37</v>
      </c>
      <c r="G221">
        <v>29.76</v>
      </c>
      <c r="H221">
        <v>4.4000000000000004</v>
      </c>
      <c r="I221">
        <v>7946</v>
      </c>
      <c r="J221">
        <v>14</v>
      </c>
      <c r="K221" t="s">
        <v>27</v>
      </c>
      <c r="L221">
        <v>2024</v>
      </c>
      <c r="M221" t="s">
        <v>695</v>
      </c>
      <c r="N221">
        <v>6540</v>
      </c>
      <c r="O221" t="s">
        <v>22</v>
      </c>
    </row>
    <row r="222" spans="1:15" x14ac:dyDescent="0.3">
      <c r="A222">
        <v>221</v>
      </c>
      <c r="B222" t="s">
        <v>696</v>
      </c>
      <c r="C222" t="s">
        <v>41</v>
      </c>
      <c r="D222" t="s">
        <v>17</v>
      </c>
      <c r="E222" t="s">
        <v>18</v>
      </c>
      <c r="F222" t="s">
        <v>19</v>
      </c>
      <c r="G222">
        <v>11.47</v>
      </c>
      <c r="H222">
        <v>4.7</v>
      </c>
      <c r="I222">
        <v>346</v>
      </c>
      <c r="J222">
        <v>3</v>
      </c>
      <c r="K222" t="s">
        <v>261</v>
      </c>
      <c r="L222">
        <v>2023</v>
      </c>
      <c r="M222" t="s">
        <v>697</v>
      </c>
      <c r="N222">
        <v>6756</v>
      </c>
      <c r="O222" t="s">
        <v>22</v>
      </c>
    </row>
    <row r="223" spans="1:15" x14ac:dyDescent="0.3">
      <c r="A223">
        <v>222</v>
      </c>
      <c r="B223" t="s">
        <v>698</v>
      </c>
      <c r="C223" t="s">
        <v>67</v>
      </c>
      <c r="D223" t="s">
        <v>25</v>
      </c>
      <c r="E223" t="s">
        <v>277</v>
      </c>
      <c r="F223" t="s">
        <v>260</v>
      </c>
      <c r="G223">
        <v>13.51</v>
      </c>
      <c r="H223">
        <v>4.7</v>
      </c>
      <c r="I223">
        <v>12597</v>
      </c>
      <c r="J223">
        <v>13</v>
      </c>
      <c r="K223" t="s">
        <v>200</v>
      </c>
      <c r="L223">
        <v>2025</v>
      </c>
      <c r="M223" t="s">
        <v>699</v>
      </c>
      <c r="N223">
        <v>3378</v>
      </c>
      <c r="O223" t="s">
        <v>22</v>
      </c>
    </row>
    <row r="224" spans="1:15" x14ac:dyDescent="0.3">
      <c r="A224">
        <v>223</v>
      </c>
      <c r="B224" t="s">
        <v>700</v>
      </c>
      <c r="C224" t="s">
        <v>239</v>
      </c>
      <c r="D224" t="s">
        <v>17</v>
      </c>
      <c r="E224" t="s">
        <v>18</v>
      </c>
      <c r="F224" t="s">
        <v>19</v>
      </c>
      <c r="G224">
        <v>16.47</v>
      </c>
      <c r="H224">
        <v>4.7</v>
      </c>
      <c r="I224">
        <v>1328</v>
      </c>
      <c r="J224">
        <v>18</v>
      </c>
      <c r="K224" t="s">
        <v>20</v>
      </c>
      <c r="L224">
        <v>2017</v>
      </c>
      <c r="M224" t="s">
        <v>701</v>
      </c>
      <c r="N224">
        <v>451</v>
      </c>
      <c r="O224" t="s">
        <v>22</v>
      </c>
    </row>
    <row r="225" spans="1:15" x14ac:dyDescent="0.3">
      <c r="A225">
        <v>224</v>
      </c>
      <c r="B225" t="s">
        <v>702</v>
      </c>
      <c r="C225" t="s">
        <v>219</v>
      </c>
      <c r="D225" t="s">
        <v>17</v>
      </c>
      <c r="E225" t="s">
        <v>334</v>
      </c>
      <c r="F225" t="s">
        <v>19</v>
      </c>
      <c r="G225">
        <v>14.76</v>
      </c>
      <c r="H225">
        <v>4.2</v>
      </c>
      <c r="I225">
        <v>2009</v>
      </c>
      <c r="J225">
        <v>5</v>
      </c>
      <c r="K225" t="s">
        <v>312</v>
      </c>
      <c r="L225">
        <v>2022</v>
      </c>
      <c r="M225" t="s">
        <v>703</v>
      </c>
      <c r="N225">
        <v>2103</v>
      </c>
      <c r="O225" t="s">
        <v>22</v>
      </c>
    </row>
    <row r="226" spans="1:15" x14ac:dyDescent="0.3">
      <c r="A226">
        <v>225</v>
      </c>
      <c r="B226" t="s">
        <v>704</v>
      </c>
      <c r="C226" t="s">
        <v>656</v>
      </c>
      <c r="D226" t="s">
        <v>25</v>
      </c>
      <c r="E226" t="s">
        <v>105</v>
      </c>
      <c r="F226" t="s">
        <v>37</v>
      </c>
      <c r="G226">
        <v>28.56</v>
      </c>
      <c r="H226">
        <v>4.8</v>
      </c>
      <c r="I226">
        <v>1194</v>
      </c>
      <c r="J226">
        <v>13</v>
      </c>
      <c r="K226" t="s">
        <v>205</v>
      </c>
      <c r="L226">
        <v>2023</v>
      </c>
      <c r="M226" t="s">
        <v>705</v>
      </c>
      <c r="N226">
        <v>2627</v>
      </c>
      <c r="O226" t="s">
        <v>22</v>
      </c>
    </row>
    <row r="227" spans="1:15" x14ac:dyDescent="0.3">
      <c r="A227">
        <v>226</v>
      </c>
      <c r="B227" t="s">
        <v>706</v>
      </c>
      <c r="C227" t="s">
        <v>707</v>
      </c>
      <c r="D227" t="s">
        <v>17</v>
      </c>
      <c r="E227" t="s">
        <v>188</v>
      </c>
      <c r="F227" t="s">
        <v>37</v>
      </c>
      <c r="G227">
        <v>29.31</v>
      </c>
      <c r="H227">
        <v>4.5999999999999996</v>
      </c>
      <c r="I227">
        <v>9349</v>
      </c>
      <c r="J227">
        <v>25</v>
      </c>
      <c r="K227" t="s">
        <v>322</v>
      </c>
      <c r="L227">
        <v>2023</v>
      </c>
      <c r="M227" t="s">
        <v>708</v>
      </c>
      <c r="N227">
        <v>5977</v>
      </c>
      <c r="O227" t="s">
        <v>22</v>
      </c>
    </row>
    <row r="228" spans="1:15" x14ac:dyDescent="0.3">
      <c r="A228">
        <v>227</v>
      </c>
      <c r="B228" t="s">
        <v>709</v>
      </c>
      <c r="C228" t="s">
        <v>514</v>
      </c>
      <c r="D228" t="s">
        <v>17</v>
      </c>
      <c r="E228" t="s">
        <v>18</v>
      </c>
      <c r="F228" t="s">
        <v>260</v>
      </c>
      <c r="G228">
        <v>10.26</v>
      </c>
      <c r="H228">
        <v>4.0999999999999996</v>
      </c>
      <c r="I228">
        <v>7254</v>
      </c>
      <c r="J228">
        <v>28</v>
      </c>
      <c r="K228" t="s">
        <v>286</v>
      </c>
      <c r="L228">
        <v>2024</v>
      </c>
      <c r="M228" t="s">
        <v>710</v>
      </c>
      <c r="N228">
        <v>3526</v>
      </c>
      <c r="O228" t="s">
        <v>22</v>
      </c>
    </row>
    <row r="229" spans="1:15" x14ac:dyDescent="0.3">
      <c r="A229">
        <v>228</v>
      </c>
      <c r="B229" t="s">
        <v>711</v>
      </c>
      <c r="C229" t="s">
        <v>712</v>
      </c>
      <c r="D229" t="s">
        <v>25</v>
      </c>
      <c r="E229" t="s">
        <v>26</v>
      </c>
      <c r="F229" t="s">
        <v>260</v>
      </c>
      <c r="G229">
        <v>9.49</v>
      </c>
      <c r="H229">
        <v>4.7</v>
      </c>
      <c r="I229">
        <v>5359</v>
      </c>
      <c r="J229">
        <v>2</v>
      </c>
      <c r="K229" t="s">
        <v>261</v>
      </c>
      <c r="L229">
        <v>2025</v>
      </c>
      <c r="M229" t="s">
        <v>713</v>
      </c>
      <c r="N229">
        <v>5130</v>
      </c>
      <c r="O229" t="s">
        <v>22</v>
      </c>
    </row>
    <row r="230" spans="1:15" x14ac:dyDescent="0.3">
      <c r="A230">
        <v>229</v>
      </c>
      <c r="B230" t="s">
        <v>714</v>
      </c>
      <c r="C230" t="s">
        <v>519</v>
      </c>
      <c r="D230" t="s">
        <v>25</v>
      </c>
      <c r="E230" t="s">
        <v>259</v>
      </c>
      <c r="F230" t="s">
        <v>37</v>
      </c>
      <c r="G230">
        <v>24.39</v>
      </c>
      <c r="H230">
        <v>4.4000000000000004</v>
      </c>
      <c r="I230">
        <v>5519</v>
      </c>
      <c r="J230">
        <v>27</v>
      </c>
      <c r="K230" t="s">
        <v>271</v>
      </c>
      <c r="L230">
        <v>2022</v>
      </c>
      <c r="M230" t="s">
        <v>715</v>
      </c>
      <c r="N230">
        <v>764</v>
      </c>
      <c r="O230" t="s">
        <v>22</v>
      </c>
    </row>
    <row r="231" spans="1:15" x14ac:dyDescent="0.3">
      <c r="A231">
        <v>230</v>
      </c>
      <c r="B231" t="s">
        <v>716</v>
      </c>
      <c r="C231" t="s">
        <v>717</v>
      </c>
      <c r="D231" t="s">
        <v>25</v>
      </c>
      <c r="E231" t="s">
        <v>31</v>
      </c>
      <c r="F231" t="s">
        <v>37</v>
      </c>
      <c r="G231">
        <v>21.14</v>
      </c>
      <c r="H231">
        <v>4.5</v>
      </c>
      <c r="I231">
        <v>9455</v>
      </c>
      <c r="J231">
        <v>6</v>
      </c>
      <c r="K231" t="s">
        <v>261</v>
      </c>
      <c r="L231">
        <v>2020</v>
      </c>
      <c r="M231" t="s">
        <v>718</v>
      </c>
      <c r="N231">
        <v>4110</v>
      </c>
      <c r="O231" t="s">
        <v>22</v>
      </c>
    </row>
    <row r="232" spans="1:15" x14ac:dyDescent="0.3">
      <c r="A232">
        <v>231</v>
      </c>
      <c r="B232" t="s">
        <v>719</v>
      </c>
      <c r="C232" t="s">
        <v>171</v>
      </c>
      <c r="D232" t="s">
        <v>17</v>
      </c>
      <c r="E232" t="s">
        <v>86</v>
      </c>
      <c r="F232" t="s">
        <v>37</v>
      </c>
      <c r="G232">
        <v>20.399999999999999</v>
      </c>
      <c r="H232">
        <v>4.2</v>
      </c>
      <c r="I232">
        <v>11633</v>
      </c>
      <c r="J232">
        <v>6</v>
      </c>
      <c r="K232" t="s">
        <v>220</v>
      </c>
      <c r="L232">
        <v>2025</v>
      </c>
      <c r="M232" t="s">
        <v>720</v>
      </c>
      <c r="N232">
        <v>5805</v>
      </c>
      <c r="O232" t="s">
        <v>22</v>
      </c>
    </row>
    <row r="233" spans="1:15" x14ac:dyDescent="0.3">
      <c r="A233">
        <v>232</v>
      </c>
      <c r="B233" t="s">
        <v>721</v>
      </c>
      <c r="C233" t="s">
        <v>348</v>
      </c>
      <c r="D233" t="s">
        <v>17</v>
      </c>
      <c r="E233" t="s">
        <v>58</v>
      </c>
      <c r="F233" t="s">
        <v>19</v>
      </c>
      <c r="G233">
        <v>12.09</v>
      </c>
      <c r="H233">
        <v>4.5999999999999996</v>
      </c>
      <c r="I233">
        <v>10938</v>
      </c>
      <c r="J233">
        <v>2</v>
      </c>
      <c r="K233" t="s">
        <v>32</v>
      </c>
      <c r="L233">
        <v>2025</v>
      </c>
      <c r="M233" t="s">
        <v>722</v>
      </c>
      <c r="N233">
        <v>5569</v>
      </c>
      <c r="O233" t="s">
        <v>22</v>
      </c>
    </row>
    <row r="234" spans="1:15" x14ac:dyDescent="0.3">
      <c r="A234">
        <v>233</v>
      </c>
      <c r="B234" t="s">
        <v>723</v>
      </c>
      <c r="C234" t="s">
        <v>280</v>
      </c>
      <c r="D234" t="s">
        <v>17</v>
      </c>
      <c r="E234" t="s">
        <v>195</v>
      </c>
      <c r="F234" t="s">
        <v>19</v>
      </c>
      <c r="G234">
        <v>13.23</v>
      </c>
      <c r="H234">
        <v>4.2</v>
      </c>
      <c r="I234">
        <v>3671</v>
      </c>
      <c r="J234">
        <v>8</v>
      </c>
      <c r="K234" t="s">
        <v>403</v>
      </c>
      <c r="L234">
        <v>2023</v>
      </c>
      <c r="M234" t="s">
        <v>724</v>
      </c>
      <c r="N234">
        <v>6445</v>
      </c>
      <c r="O234" t="s">
        <v>22</v>
      </c>
    </row>
    <row r="235" spans="1:15" x14ac:dyDescent="0.3">
      <c r="A235">
        <v>234</v>
      </c>
      <c r="B235" t="s">
        <v>725</v>
      </c>
      <c r="C235" t="s">
        <v>30</v>
      </c>
      <c r="D235" t="s">
        <v>25</v>
      </c>
      <c r="E235" t="s">
        <v>26</v>
      </c>
      <c r="F235" t="s">
        <v>19</v>
      </c>
      <c r="G235">
        <v>11.43</v>
      </c>
      <c r="H235">
        <v>4.8</v>
      </c>
      <c r="I235">
        <v>14160</v>
      </c>
      <c r="J235">
        <v>23</v>
      </c>
      <c r="K235" t="s">
        <v>92</v>
      </c>
      <c r="L235">
        <v>2020</v>
      </c>
      <c r="M235" t="s">
        <v>726</v>
      </c>
      <c r="N235">
        <v>2361</v>
      </c>
      <c r="O235" t="s">
        <v>22</v>
      </c>
    </row>
    <row r="236" spans="1:15" x14ac:dyDescent="0.3">
      <c r="A236">
        <v>235</v>
      </c>
      <c r="B236" t="s">
        <v>727</v>
      </c>
      <c r="C236" t="s">
        <v>728</v>
      </c>
      <c r="D236" t="s">
        <v>25</v>
      </c>
      <c r="E236" t="s">
        <v>126</v>
      </c>
      <c r="F236" t="s">
        <v>243</v>
      </c>
      <c r="G236">
        <v>21.09</v>
      </c>
      <c r="H236">
        <v>4</v>
      </c>
      <c r="I236">
        <v>501</v>
      </c>
      <c r="J236">
        <v>13</v>
      </c>
      <c r="K236" t="s">
        <v>106</v>
      </c>
      <c r="L236">
        <v>2024</v>
      </c>
      <c r="M236" t="s">
        <v>729</v>
      </c>
      <c r="N236">
        <v>7121</v>
      </c>
      <c r="O236" t="s">
        <v>22</v>
      </c>
    </row>
    <row r="237" spans="1:15" x14ac:dyDescent="0.3">
      <c r="A237">
        <v>236</v>
      </c>
      <c r="B237" t="s">
        <v>730</v>
      </c>
      <c r="C237" t="s">
        <v>731</v>
      </c>
      <c r="D237" t="s">
        <v>17</v>
      </c>
      <c r="E237" t="s">
        <v>188</v>
      </c>
      <c r="F237" t="s">
        <v>243</v>
      </c>
      <c r="G237">
        <v>28.72</v>
      </c>
      <c r="H237">
        <v>4.4000000000000004</v>
      </c>
      <c r="I237">
        <v>7037</v>
      </c>
      <c r="J237">
        <v>9</v>
      </c>
      <c r="K237" t="s">
        <v>196</v>
      </c>
      <c r="L237">
        <v>2023</v>
      </c>
      <c r="M237" t="s">
        <v>732</v>
      </c>
      <c r="N237">
        <v>4913</v>
      </c>
      <c r="O237" t="s">
        <v>22</v>
      </c>
    </row>
    <row r="238" spans="1:15" x14ac:dyDescent="0.3">
      <c r="A238">
        <v>237</v>
      </c>
      <c r="B238" t="s">
        <v>733</v>
      </c>
      <c r="C238" t="s">
        <v>394</v>
      </c>
      <c r="D238" t="s">
        <v>25</v>
      </c>
      <c r="E238" t="s">
        <v>285</v>
      </c>
      <c r="F238" t="s">
        <v>37</v>
      </c>
      <c r="G238">
        <v>26.34</v>
      </c>
      <c r="H238">
        <v>4.5999999999999996</v>
      </c>
      <c r="I238">
        <v>2584</v>
      </c>
      <c r="J238">
        <v>25</v>
      </c>
      <c r="K238" t="s">
        <v>135</v>
      </c>
      <c r="L238">
        <v>2012</v>
      </c>
      <c r="M238" t="s">
        <v>734</v>
      </c>
      <c r="N238">
        <v>6582</v>
      </c>
      <c r="O238" t="s">
        <v>22</v>
      </c>
    </row>
    <row r="239" spans="1:15" x14ac:dyDescent="0.3">
      <c r="A239">
        <v>238</v>
      </c>
      <c r="B239" t="s">
        <v>735</v>
      </c>
      <c r="C239" t="s">
        <v>90</v>
      </c>
      <c r="D239" t="s">
        <v>25</v>
      </c>
      <c r="E239" t="s">
        <v>47</v>
      </c>
      <c r="F239" t="s">
        <v>19</v>
      </c>
      <c r="G239">
        <v>16.010000000000002</v>
      </c>
      <c r="H239">
        <v>4.8</v>
      </c>
      <c r="I239">
        <v>2396</v>
      </c>
      <c r="J239">
        <v>18</v>
      </c>
      <c r="K239" t="s">
        <v>220</v>
      </c>
      <c r="L239">
        <v>2025</v>
      </c>
      <c r="M239" t="s">
        <v>736</v>
      </c>
      <c r="N239">
        <v>4501</v>
      </c>
      <c r="O239" t="s">
        <v>22</v>
      </c>
    </row>
    <row r="240" spans="1:15" x14ac:dyDescent="0.3">
      <c r="A240">
        <v>239</v>
      </c>
      <c r="B240" t="s">
        <v>737</v>
      </c>
      <c r="C240" t="s">
        <v>738</v>
      </c>
      <c r="D240" t="s">
        <v>25</v>
      </c>
      <c r="E240" t="s">
        <v>296</v>
      </c>
      <c r="F240" t="s">
        <v>243</v>
      </c>
      <c r="G240">
        <v>24.79</v>
      </c>
      <c r="H240">
        <v>4.3</v>
      </c>
      <c r="I240">
        <v>4243</v>
      </c>
      <c r="J240">
        <v>15</v>
      </c>
      <c r="K240" t="s">
        <v>426</v>
      </c>
      <c r="L240">
        <v>2021</v>
      </c>
      <c r="M240" t="s">
        <v>739</v>
      </c>
      <c r="N240">
        <v>3706</v>
      </c>
      <c r="O240" t="s">
        <v>22</v>
      </c>
    </row>
    <row r="241" spans="1:15" x14ac:dyDescent="0.3">
      <c r="A241">
        <v>240</v>
      </c>
      <c r="B241" t="s">
        <v>740</v>
      </c>
      <c r="C241" t="s">
        <v>628</v>
      </c>
      <c r="D241" t="s">
        <v>17</v>
      </c>
      <c r="E241" t="s">
        <v>172</v>
      </c>
      <c r="F241" t="s">
        <v>260</v>
      </c>
      <c r="G241">
        <v>8.26</v>
      </c>
      <c r="H241">
        <v>4.5999999999999996</v>
      </c>
      <c r="I241">
        <v>6547</v>
      </c>
      <c r="J241">
        <v>18</v>
      </c>
      <c r="K241" t="s">
        <v>349</v>
      </c>
      <c r="L241">
        <v>2025</v>
      </c>
      <c r="M241" t="s">
        <v>741</v>
      </c>
      <c r="N241">
        <v>2974</v>
      </c>
      <c r="O241" t="s">
        <v>22</v>
      </c>
    </row>
    <row r="242" spans="1:15" x14ac:dyDescent="0.3">
      <c r="A242">
        <v>241</v>
      </c>
      <c r="B242" t="s">
        <v>742</v>
      </c>
      <c r="C242" t="s">
        <v>608</v>
      </c>
      <c r="D242" t="s">
        <v>25</v>
      </c>
      <c r="E242" t="s">
        <v>91</v>
      </c>
      <c r="F242" t="s">
        <v>247</v>
      </c>
      <c r="G242">
        <v>12.43</v>
      </c>
      <c r="H242">
        <v>4.4000000000000004</v>
      </c>
      <c r="I242">
        <v>6975</v>
      </c>
      <c r="J242">
        <v>12</v>
      </c>
      <c r="K242" t="s">
        <v>130</v>
      </c>
      <c r="L242">
        <v>2022</v>
      </c>
      <c r="M242" t="s">
        <v>743</v>
      </c>
      <c r="N242">
        <v>4206</v>
      </c>
      <c r="O242" t="s">
        <v>22</v>
      </c>
    </row>
    <row r="243" spans="1:15" x14ac:dyDescent="0.3">
      <c r="A243">
        <v>242</v>
      </c>
      <c r="B243" t="s">
        <v>744</v>
      </c>
      <c r="C243" t="s">
        <v>57</v>
      </c>
      <c r="D243" t="s">
        <v>17</v>
      </c>
      <c r="E243" t="s">
        <v>334</v>
      </c>
      <c r="F243" t="s">
        <v>19</v>
      </c>
      <c r="G243">
        <v>12.42</v>
      </c>
      <c r="H243">
        <v>4.3</v>
      </c>
      <c r="I243">
        <v>12787</v>
      </c>
      <c r="J243">
        <v>7</v>
      </c>
      <c r="K243" t="s">
        <v>353</v>
      </c>
      <c r="L243">
        <v>2026</v>
      </c>
      <c r="M243" t="s">
        <v>745</v>
      </c>
      <c r="N243">
        <v>1949</v>
      </c>
      <c r="O243" t="s">
        <v>22</v>
      </c>
    </row>
    <row r="244" spans="1:15" x14ac:dyDescent="0.3">
      <c r="A244">
        <v>243</v>
      </c>
      <c r="B244" t="s">
        <v>746</v>
      </c>
      <c r="C244" t="s">
        <v>571</v>
      </c>
      <c r="D244" t="s">
        <v>25</v>
      </c>
      <c r="E244" t="s">
        <v>26</v>
      </c>
      <c r="F244" t="s">
        <v>37</v>
      </c>
      <c r="G244">
        <v>23.47</v>
      </c>
      <c r="H244">
        <v>4.5</v>
      </c>
      <c r="I244">
        <v>8284</v>
      </c>
      <c r="J244">
        <v>9</v>
      </c>
      <c r="K244" t="s">
        <v>303</v>
      </c>
      <c r="L244">
        <v>2018</v>
      </c>
      <c r="M244" t="s">
        <v>747</v>
      </c>
      <c r="N244">
        <v>1136</v>
      </c>
      <c r="O244" t="s">
        <v>22</v>
      </c>
    </row>
    <row r="245" spans="1:15" x14ac:dyDescent="0.3">
      <c r="A245">
        <v>244</v>
      </c>
      <c r="B245" t="s">
        <v>748</v>
      </c>
      <c r="C245" t="s">
        <v>100</v>
      </c>
      <c r="D245" t="s">
        <v>25</v>
      </c>
      <c r="E245" t="s">
        <v>268</v>
      </c>
      <c r="F245" t="s">
        <v>37</v>
      </c>
      <c r="G245">
        <v>27.88</v>
      </c>
      <c r="H245">
        <v>4.0999999999999996</v>
      </c>
      <c r="I245">
        <v>5089</v>
      </c>
      <c r="J245">
        <v>12</v>
      </c>
      <c r="K245" t="s">
        <v>349</v>
      </c>
      <c r="L245">
        <v>2026</v>
      </c>
      <c r="M245" t="s">
        <v>749</v>
      </c>
      <c r="N245">
        <v>5993</v>
      </c>
      <c r="O245" t="s">
        <v>22</v>
      </c>
    </row>
    <row r="246" spans="1:15" x14ac:dyDescent="0.3">
      <c r="A246">
        <v>245</v>
      </c>
      <c r="B246" t="s">
        <v>750</v>
      </c>
      <c r="C246" t="s">
        <v>504</v>
      </c>
      <c r="D246" t="s">
        <v>25</v>
      </c>
      <c r="E246" t="s">
        <v>285</v>
      </c>
      <c r="F246" t="s">
        <v>37</v>
      </c>
      <c r="G246">
        <v>24.15</v>
      </c>
      <c r="H246">
        <v>4.4000000000000004</v>
      </c>
      <c r="I246">
        <v>11580</v>
      </c>
      <c r="J246">
        <v>29</v>
      </c>
      <c r="K246" t="s">
        <v>345</v>
      </c>
      <c r="L246">
        <v>2019</v>
      </c>
      <c r="M246" t="s">
        <v>751</v>
      </c>
      <c r="N246">
        <v>5503</v>
      </c>
      <c r="O246" t="s">
        <v>22</v>
      </c>
    </row>
    <row r="247" spans="1:15" x14ac:dyDescent="0.3">
      <c r="A247">
        <v>246</v>
      </c>
      <c r="B247" t="s">
        <v>752</v>
      </c>
      <c r="C247" t="s">
        <v>753</v>
      </c>
      <c r="D247" t="s">
        <v>17</v>
      </c>
      <c r="E247" t="s">
        <v>334</v>
      </c>
      <c r="F247" t="s">
        <v>37</v>
      </c>
      <c r="G247">
        <v>26.47</v>
      </c>
      <c r="H247">
        <v>4.5</v>
      </c>
      <c r="I247">
        <v>8354</v>
      </c>
      <c r="J247">
        <v>17</v>
      </c>
      <c r="K247" t="s">
        <v>281</v>
      </c>
      <c r="L247">
        <v>2025</v>
      </c>
      <c r="M247" t="s">
        <v>754</v>
      </c>
      <c r="N247">
        <v>1460</v>
      </c>
      <c r="O247" t="s">
        <v>22</v>
      </c>
    </row>
    <row r="248" spans="1:15" x14ac:dyDescent="0.3">
      <c r="A248">
        <v>247</v>
      </c>
      <c r="B248" t="s">
        <v>755</v>
      </c>
      <c r="C248" t="s">
        <v>308</v>
      </c>
      <c r="D248" t="s">
        <v>25</v>
      </c>
      <c r="E248" t="s">
        <v>228</v>
      </c>
      <c r="F248" t="s">
        <v>247</v>
      </c>
      <c r="G248">
        <v>6.76</v>
      </c>
      <c r="H248">
        <v>4.2</v>
      </c>
      <c r="I248">
        <v>300</v>
      </c>
      <c r="J248">
        <v>5</v>
      </c>
      <c r="K248" t="s">
        <v>54</v>
      </c>
      <c r="L248">
        <v>2024</v>
      </c>
      <c r="M248" t="s">
        <v>756</v>
      </c>
      <c r="N248">
        <v>7310</v>
      </c>
      <c r="O248" t="s">
        <v>22</v>
      </c>
    </row>
    <row r="249" spans="1:15" x14ac:dyDescent="0.3">
      <c r="A249">
        <v>248</v>
      </c>
      <c r="B249" t="s">
        <v>757</v>
      </c>
      <c r="C249" t="s">
        <v>176</v>
      </c>
      <c r="D249" t="s">
        <v>17</v>
      </c>
      <c r="E249" t="s">
        <v>591</v>
      </c>
      <c r="F249" t="s">
        <v>247</v>
      </c>
      <c r="G249">
        <v>6.68</v>
      </c>
      <c r="H249">
        <v>4.4000000000000004</v>
      </c>
      <c r="I249">
        <v>12077</v>
      </c>
      <c r="J249">
        <v>23</v>
      </c>
      <c r="K249" t="s">
        <v>377</v>
      </c>
      <c r="L249">
        <v>2020</v>
      </c>
      <c r="M249" t="s">
        <v>758</v>
      </c>
      <c r="N249">
        <v>7045</v>
      </c>
      <c r="O249" t="s">
        <v>22</v>
      </c>
    </row>
    <row r="250" spans="1:15" x14ac:dyDescent="0.3">
      <c r="A250">
        <v>249</v>
      </c>
      <c r="B250" t="s">
        <v>759</v>
      </c>
      <c r="C250" t="s">
        <v>227</v>
      </c>
      <c r="D250" t="s">
        <v>25</v>
      </c>
      <c r="E250" t="s">
        <v>259</v>
      </c>
      <c r="F250" t="s">
        <v>243</v>
      </c>
      <c r="G250">
        <v>29.19</v>
      </c>
      <c r="H250">
        <v>4.4000000000000004</v>
      </c>
      <c r="I250">
        <v>14569</v>
      </c>
      <c r="J250">
        <v>9</v>
      </c>
      <c r="K250" t="s">
        <v>27</v>
      </c>
      <c r="L250">
        <v>2020</v>
      </c>
      <c r="M250" t="s">
        <v>760</v>
      </c>
      <c r="N250">
        <v>1417</v>
      </c>
      <c r="O250" t="s">
        <v>22</v>
      </c>
    </row>
    <row r="251" spans="1:15" x14ac:dyDescent="0.3">
      <c r="A251">
        <v>250</v>
      </c>
      <c r="B251" t="s">
        <v>761</v>
      </c>
      <c r="C251" t="s">
        <v>525</v>
      </c>
      <c r="D251" t="s">
        <v>17</v>
      </c>
      <c r="E251" t="s">
        <v>188</v>
      </c>
      <c r="F251" t="s">
        <v>247</v>
      </c>
      <c r="G251">
        <v>5.28</v>
      </c>
      <c r="H251">
        <v>4.5</v>
      </c>
      <c r="I251">
        <v>14483</v>
      </c>
      <c r="J251">
        <v>5</v>
      </c>
      <c r="K251" t="s">
        <v>345</v>
      </c>
      <c r="L251">
        <v>2025</v>
      </c>
      <c r="M251" t="s">
        <v>762</v>
      </c>
      <c r="N251">
        <v>4263</v>
      </c>
      <c r="O251" t="s">
        <v>22</v>
      </c>
    </row>
    <row r="252" spans="1:15" x14ac:dyDescent="0.3">
      <c r="A252">
        <v>251</v>
      </c>
      <c r="B252" t="s">
        <v>763</v>
      </c>
      <c r="C252" t="s">
        <v>104</v>
      </c>
      <c r="D252" t="s">
        <v>25</v>
      </c>
      <c r="E252" t="s">
        <v>47</v>
      </c>
      <c r="F252" t="s">
        <v>247</v>
      </c>
      <c r="G252">
        <v>9.74</v>
      </c>
      <c r="H252">
        <v>4.4000000000000004</v>
      </c>
      <c r="I252">
        <v>2397</v>
      </c>
      <c r="J252">
        <v>5</v>
      </c>
      <c r="K252" t="s">
        <v>470</v>
      </c>
      <c r="L252">
        <v>2023</v>
      </c>
      <c r="M252" t="s">
        <v>764</v>
      </c>
      <c r="N252">
        <v>1725</v>
      </c>
      <c r="O252" t="s">
        <v>22</v>
      </c>
    </row>
    <row r="253" spans="1:15" x14ac:dyDescent="0.3">
      <c r="A253">
        <v>252</v>
      </c>
      <c r="B253" t="s">
        <v>765</v>
      </c>
      <c r="C253" t="s">
        <v>104</v>
      </c>
      <c r="D253" t="s">
        <v>25</v>
      </c>
      <c r="E253" t="s">
        <v>228</v>
      </c>
      <c r="F253" t="s">
        <v>19</v>
      </c>
      <c r="G253">
        <v>9.6300000000000008</v>
      </c>
      <c r="H253">
        <v>4.5999999999999996</v>
      </c>
      <c r="I253">
        <v>2824</v>
      </c>
      <c r="J253">
        <v>9</v>
      </c>
      <c r="K253" t="s">
        <v>213</v>
      </c>
      <c r="L253">
        <v>2021</v>
      </c>
      <c r="M253" t="s">
        <v>766</v>
      </c>
      <c r="N253">
        <v>1371</v>
      </c>
      <c r="O253" t="s">
        <v>22</v>
      </c>
    </row>
    <row r="254" spans="1:15" x14ac:dyDescent="0.3">
      <c r="A254">
        <v>253</v>
      </c>
      <c r="B254" t="s">
        <v>767</v>
      </c>
      <c r="C254" t="s">
        <v>768</v>
      </c>
      <c r="D254" t="s">
        <v>17</v>
      </c>
      <c r="E254" t="s">
        <v>86</v>
      </c>
      <c r="F254" t="s">
        <v>19</v>
      </c>
      <c r="G254">
        <v>16.21</v>
      </c>
      <c r="H254">
        <v>4.4000000000000004</v>
      </c>
      <c r="I254">
        <v>2592</v>
      </c>
      <c r="J254">
        <v>11</v>
      </c>
      <c r="K254" t="s">
        <v>470</v>
      </c>
      <c r="L254">
        <v>2024</v>
      </c>
      <c r="M254" t="s">
        <v>769</v>
      </c>
      <c r="N254">
        <v>1683</v>
      </c>
      <c r="O254" t="s">
        <v>22</v>
      </c>
    </row>
    <row r="255" spans="1:15" x14ac:dyDescent="0.3">
      <c r="A255">
        <v>254</v>
      </c>
      <c r="B255" t="s">
        <v>770</v>
      </c>
      <c r="C255" t="s">
        <v>771</v>
      </c>
      <c r="D255" t="s">
        <v>25</v>
      </c>
      <c r="E255" t="s">
        <v>91</v>
      </c>
      <c r="F255" t="s">
        <v>37</v>
      </c>
      <c r="G255">
        <v>27.98</v>
      </c>
      <c r="H255">
        <v>4.3</v>
      </c>
      <c r="I255">
        <v>2362</v>
      </c>
      <c r="J255">
        <v>13</v>
      </c>
      <c r="K255" t="s">
        <v>353</v>
      </c>
      <c r="L255">
        <v>2020</v>
      </c>
      <c r="M255" t="s">
        <v>772</v>
      </c>
      <c r="N255">
        <v>7205</v>
      </c>
      <c r="O255" t="s">
        <v>22</v>
      </c>
    </row>
    <row r="256" spans="1:15" x14ac:dyDescent="0.3">
      <c r="A256">
        <v>255</v>
      </c>
      <c r="B256" t="s">
        <v>773</v>
      </c>
      <c r="C256" t="s">
        <v>402</v>
      </c>
      <c r="D256" t="s">
        <v>25</v>
      </c>
      <c r="E256" t="s">
        <v>440</v>
      </c>
      <c r="F256" t="s">
        <v>19</v>
      </c>
      <c r="G256">
        <v>12.06</v>
      </c>
      <c r="H256">
        <v>4.5</v>
      </c>
      <c r="I256">
        <v>3616</v>
      </c>
      <c r="J256">
        <v>10</v>
      </c>
      <c r="K256" t="s">
        <v>377</v>
      </c>
      <c r="L256">
        <v>2025</v>
      </c>
      <c r="M256" t="s">
        <v>774</v>
      </c>
      <c r="N256">
        <v>6566</v>
      </c>
      <c r="O256" t="s">
        <v>22</v>
      </c>
    </row>
    <row r="257" spans="1:15" x14ac:dyDescent="0.3">
      <c r="A257">
        <v>256</v>
      </c>
      <c r="B257" t="s">
        <v>775</v>
      </c>
      <c r="C257" t="s">
        <v>590</v>
      </c>
      <c r="D257" t="s">
        <v>17</v>
      </c>
      <c r="E257" t="s">
        <v>299</v>
      </c>
      <c r="F257" t="s">
        <v>37</v>
      </c>
      <c r="G257">
        <v>24.74</v>
      </c>
      <c r="H257">
        <v>4.0999999999999996</v>
      </c>
      <c r="I257">
        <v>3154</v>
      </c>
      <c r="J257">
        <v>6</v>
      </c>
      <c r="K257" t="s">
        <v>303</v>
      </c>
      <c r="L257">
        <v>2022</v>
      </c>
      <c r="M257" t="s">
        <v>776</v>
      </c>
      <c r="N257">
        <v>5269</v>
      </c>
      <c r="O257" t="s">
        <v>22</v>
      </c>
    </row>
    <row r="258" spans="1:15" x14ac:dyDescent="0.3">
      <c r="A258">
        <v>257</v>
      </c>
      <c r="B258" t="s">
        <v>777</v>
      </c>
      <c r="C258" t="s">
        <v>35</v>
      </c>
      <c r="D258" t="s">
        <v>25</v>
      </c>
      <c r="E258" t="s">
        <v>259</v>
      </c>
      <c r="F258" t="s">
        <v>247</v>
      </c>
      <c r="G258">
        <v>10.11</v>
      </c>
      <c r="H258">
        <v>4.9000000000000004</v>
      </c>
      <c r="I258">
        <v>2870</v>
      </c>
      <c r="J258">
        <v>2</v>
      </c>
      <c r="K258" t="s">
        <v>281</v>
      </c>
      <c r="L258">
        <v>2023</v>
      </c>
      <c r="M258" t="s">
        <v>778</v>
      </c>
      <c r="N258">
        <v>7497</v>
      </c>
      <c r="O258" t="s">
        <v>22</v>
      </c>
    </row>
    <row r="259" spans="1:15" x14ac:dyDescent="0.3">
      <c r="A259">
        <v>258</v>
      </c>
      <c r="B259" t="s">
        <v>779</v>
      </c>
      <c r="C259" t="s">
        <v>645</v>
      </c>
      <c r="D259" t="s">
        <v>17</v>
      </c>
      <c r="E259" t="s">
        <v>18</v>
      </c>
      <c r="F259" t="s">
        <v>37</v>
      </c>
      <c r="G259">
        <v>22.65</v>
      </c>
      <c r="H259">
        <v>4.0999999999999996</v>
      </c>
      <c r="I259">
        <v>1780</v>
      </c>
      <c r="J259">
        <v>11</v>
      </c>
      <c r="K259" t="s">
        <v>213</v>
      </c>
      <c r="L259">
        <v>2017</v>
      </c>
      <c r="M259" t="s">
        <v>780</v>
      </c>
      <c r="N259">
        <v>7396</v>
      </c>
      <c r="O259" t="s">
        <v>22</v>
      </c>
    </row>
    <row r="260" spans="1:15" x14ac:dyDescent="0.3">
      <c r="A260">
        <v>259</v>
      </c>
      <c r="B260" t="s">
        <v>781</v>
      </c>
      <c r="C260" t="s">
        <v>333</v>
      </c>
      <c r="D260" t="s">
        <v>17</v>
      </c>
      <c r="E260" t="s">
        <v>591</v>
      </c>
      <c r="F260" t="s">
        <v>243</v>
      </c>
      <c r="G260">
        <v>28.9</v>
      </c>
      <c r="H260">
        <v>4.7</v>
      </c>
      <c r="I260">
        <v>3772</v>
      </c>
      <c r="J260">
        <v>9</v>
      </c>
      <c r="K260" t="s">
        <v>200</v>
      </c>
      <c r="L260">
        <v>2021</v>
      </c>
      <c r="M260" t="s">
        <v>782</v>
      </c>
      <c r="N260">
        <v>3997</v>
      </c>
      <c r="O260" t="s">
        <v>22</v>
      </c>
    </row>
    <row r="261" spans="1:15" x14ac:dyDescent="0.3">
      <c r="A261">
        <v>260</v>
      </c>
      <c r="B261" t="s">
        <v>783</v>
      </c>
      <c r="C261" t="s">
        <v>376</v>
      </c>
      <c r="D261" t="s">
        <v>25</v>
      </c>
      <c r="E261" t="s">
        <v>91</v>
      </c>
      <c r="F261" t="s">
        <v>37</v>
      </c>
      <c r="G261">
        <v>25.97</v>
      </c>
      <c r="H261">
        <v>4.3</v>
      </c>
      <c r="I261">
        <v>1213</v>
      </c>
      <c r="J261">
        <v>12</v>
      </c>
      <c r="K261" t="s">
        <v>403</v>
      </c>
      <c r="L261">
        <v>2024</v>
      </c>
      <c r="M261" t="s">
        <v>784</v>
      </c>
      <c r="N261">
        <v>4807</v>
      </c>
      <c r="O261" t="s">
        <v>22</v>
      </c>
    </row>
    <row r="262" spans="1:15" x14ac:dyDescent="0.3">
      <c r="A262">
        <v>261</v>
      </c>
      <c r="B262" t="s">
        <v>785</v>
      </c>
      <c r="C262" t="s">
        <v>85</v>
      </c>
      <c r="D262" t="s">
        <v>17</v>
      </c>
      <c r="E262" t="s">
        <v>311</v>
      </c>
      <c r="F262" t="s">
        <v>37</v>
      </c>
      <c r="G262">
        <v>21.3</v>
      </c>
      <c r="H262">
        <v>4</v>
      </c>
      <c r="I262">
        <v>2463</v>
      </c>
      <c r="J262">
        <v>5</v>
      </c>
      <c r="K262" t="s">
        <v>261</v>
      </c>
      <c r="L262">
        <v>2017</v>
      </c>
      <c r="M262" t="s">
        <v>786</v>
      </c>
      <c r="N262">
        <v>2655</v>
      </c>
      <c r="O262" t="s">
        <v>22</v>
      </c>
    </row>
    <row r="263" spans="1:15" x14ac:dyDescent="0.3">
      <c r="A263">
        <v>262</v>
      </c>
      <c r="B263" t="s">
        <v>787</v>
      </c>
      <c r="C263" t="s">
        <v>308</v>
      </c>
      <c r="D263" t="s">
        <v>25</v>
      </c>
      <c r="E263" t="s">
        <v>73</v>
      </c>
      <c r="F263" t="s">
        <v>19</v>
      </c>
      <c r="G263">
        <v>11.52</v>
      </c>
      <c r="H263">
        <v>5</v>
      </c>
      <c r="I263">
        <v>2154</v>
      </c>
      <c r="J263">
        <v>1</v>
      </c>
      <c r="K263" t="s">
        <v>286</v>
      </c>
      <c r="L263">
        <v>2025</v>
      </c>
      <c r="M263" t="s">
        <v>788</v>
      </c>
      <c r="N263">
        <v>5923</v>
      </c>
      <c r="O263" t="s">
        <v>22</v>
      </c>
    </row>
    <row r="264" spans="1:15" x14ac:dyDescent="0.3">
      <c r="A264">
        <v>263</v>
      </c>
      <c r="B264" t="s">
        <v>789</v>
      </c>
      <c r="C264" t="s">
        <v>344</v>
      </c>
      <c r="D264" t="s">
        <v>17</v>
      </c>
      <c r="E264" t="s">
        <v>591</v>
      </c>
      <c r="F264" t="s">
        <v>19</v>
      </c>
      <c r="G264">
        <v>12.95</v>
      </c>
      <c r="H264">
        <v>4.3</v>
      </c>
      <c r="I264">
        <v>2876</v>
      </c>
      <c r="J264">
        <v>1</v>
      </c>
      <c r="K264" t="s">
        <v>403</v>
      </c>
      <c r="L264">
        <v>2024</v>
      </c>
      <c r="M264" t="s">
        <v>790</v>
      </c>
      <c r="N264">
        <v>3792</v>
      </c>
      <c r="O264" t="s">
        <v>22</v>
      </c>
    </row>
    <row r="265" spans="1:15" x14ac:dyDescent="0.3">
      <c r="A265">
        <v>264</v>
      </c>
      <c r="B265" t="s">
        <v>791</v>
      </c>
      <c r="C265" t="s">
        <v>645</v>
      </c>
      <c r="D265" t="s">
        <v>17</v>
      </c>
      <c r="E265" t="s">
        <v>224</v>
      </c>
      <c r="F265" t="s">
        <v>37</v>
      </c>
      <c r="G265">
        <v>29.49</v>
      </c>
      <c r="H265">
        <v>4.3</v>
      </c>
      <c r="I265">
        <v>386</v>
      </c>
      <c r="J265">
        <v>2</v>
      </c>
      <c r="K265" t="s">
        <v>792</v>
      </c>
      <c r="L265">
        <v>2026</v>
      </c>
      <c r="M265" t="s">
        <v>793</v>
      </c>
      <c r="N265">
        <v>3272</v>
      </c>
      <c r="O265" t="s">
        <v>22</v>
      </c>
    </row>
    <row r="266" spans="1:15" x14ac:dyDescent="0.3">
      <c r="A266">
        <v>265</v>
      </c>
      <c r="B266" t="s">
        <v>794</v>
      </c>
      <c r="C266" t="s">
        <v>30</v>
      </c>
      <c r="D266" t="s">
        <v>25</v>
      </c>
      <c r="E266" t="s">
        <v>26</v>
      </c>
      <c r="F266" t="s">
        <v>19</v>
      </c>
      <c r="G266">
        <v>9.8699999999999992</v>
      </c>
      <c r="H266">
        <v>4.5999999999999996</v>
      </c>
      <c r="I266">
        <v>1847</v>
      </c>
      <c r="J266">
        <v>12</v>
      </c>
      <c r="K266" t="s">
        <v>160</v>
      </c>
      <c r="L266">
        <v>2019</v>
      </c>
      <c r="M266" t="s">
        <v>795</v>
      </c>
      <c r="N266">
        <v>995</v>
      </c>
      <c r="O266" t="s">
        <v>22</v>
      </c>
    </row>
    <row r="267" spans="1:15" x14ac:dyDescent="0.3">
      <c r="A267">
        <v>266</v>
      </c>
      <c r="B267" t="s">
        <v>796</v>
      </c>
      <c r="C267" t="s">
        <v>167</v>
      </c>
      <c r="D267" t="s">
        <v>17</v>
      </c>
      <c r="E267" t="s">
        <v>232</v>
      </c>
      <c r="F267" t="s">
        <v>37</v>
      </c>
      <c r="G267">
        <v>28.99</v>
      </c>
      <c r="H267">
        <v>4.5999999999999996</v>
      </c>
      <c r="I267">
        <v>2314</v>
      </c>
      <c r="J267">
        <v>13</v>
      </c>
      <c r="K267" t="s">
        <v>303</v>
      </c>
      <c r="L267">
        <v>2021</v>
      </c>
      <c r="M267" t="s">
        <v>797</v>
      </c>
      <c r="N267">
        <v>2803</v>
      </c>
      <c r="O267" t="s">
        <v>22</v>
      </c>
    </row>
    <row r="268" spans="1:15" x14ac:dyDescent="0.3">
      <c r="A268">
        <v>267</v>
      </c>
      <c r="B268" t="s">
        <v>798</v>
      </c>
      <c r="C268" t="s">
        <v>397</v>
      </c>
      <c r="D268" t="s">
        <v>25</v>
      </c>
      <c r="E268" t="s">
        <v>296</v>
      </c>
      <c r="F268" t="s">
        <v>37</v>
      </c>
      <c r="G268">
        <v>18.86</v>
      </c>
      <c r="H268">
        <v>4.4000000000000004</v>
      </c>
      <c r="I268">
        <v>920</v>
      </c>
      <c r="J268">
        <v>15</v>
      </c>
      <c r="K268" t="s">
        <v>140</v>
      </c>
      <c r="L268">
        <v>2021</v>
      </c>
      <c r="M268" t="s">
        <v>799</v>
      </c>
      <c r="N268">
        <v>5214</v>
      </c>
      <c r="O268" t="s">
        <v>22</v>
      </c>
    </row>
    <row r="269" spans="1:15" x14ac:dyDescent="0.3">
      <c r="A269">
        <v>268</v>
      </c>
      <c r="B269" t="s">
        <v>800</v>
      </c>
      <c r="C269" t="s">
        <v>321</v>
      </c>
      <c r="D269" t="s">
        <v>17</v>
      </c>
      <c r="E269" t="s">
        <v>311</v>
      </c>
      <c r="F269" t="s">
        <v>37</v>
      </c>
      <c r="G269">
        <v>22.24</v>
      </c>
      <c r="H269">
        <v>4.2</v>
      </c>
      <c r="I269">
        <v>624</v>
      </c>
      <c r="J269">
        <v>9</v>
      </c>
      <c r="K269" t="s">
        <v>127</v>
      </c>
      <c r="L269">
        <v>2018</v>
      </c>
      <c r="M269" t="s">
        <v>801</v>
      </c>
      <c r="N269">
        <v>3476</v>
      </c>
      <c r="O269" t="s">
        <v>22</v>
      </c>
    </row>
    <row r="270" spans="1:15" x14ac:dyDescent="0.3">
      <c r="A270">
        <v>269</v>
      </c>
      <c r="B270" t="s">
        <v>802</v>
      </c>
      <c r="C270" t="s">
        <v>203</v>
      </c>
      <c r="D270" t="s">
        <v>17</v>
      </c>
      <c r="E270" t="s">
        <v>184</v>
      </c>
      <c r="F270" t="s">
        <v>260</v>
      </c>
      <c r="G270">
        <v>12.62</v>
      </c>
      <c r="H270">
        <v>4.3</v>
      </c>
      <c r="I270">
        <v>924</v>
      </c>
      <c r="J270">
        <v>11</v>
      </c>
      <c r="K270" t="s">
        <v>271</v>
      </c>
      <c r="L270">
        <v>2024</v>
      </c>
      <c r="M270" t="s">
        <v>803</v>
      </c>
      <c r="N270">
        <v>1684</v>
      </c>
      <c r="O270" t="s">
        <v>22</v>
      </c>
    </row>
    <row r="271" spans="1:15" x14ac:dyDescent="0.3">
      <c r="A271">
        <v>270</v>
      </c>
      <c r="B271" t="s">
        <v>804</v>
      </c>
      <c r="C271" t="s">
        <v>805</v>
      </c>
      <c r="D271" t="s">
        <v>25</v>
      </c>
      <c r="E271" t="s">
        <v>126</v>
      </c>
      <c r="F271" t="s">
        <v>19</v>
      </c>
      <c r="G271">
        <v>16.079999999999998</v>
      </c>
      <c r="H271">
        <v>4.5999999999999996</v>
      </c>
      <c r="I271">
        <v>400</v>
      </c>
      <c r="J271">
        <v>7</v>
      </c>
      <c r="K271" t="s">
        <v>173</v>
      </c>
      <c r="L271">
        <v>2016</v>
      </c>
      <c r="M271" t="s">
        <v>806</v>
      </c>
      <c r="N271">
        <v>1760</v>
      </c>
      <c r="O271" t="s">
        <v>22</v>
      </c>
    </row>
    <row r="272" spans="1:15" x14ac:dyDescent="0.3">
      <c r="A272">
        <v>271</v>
      </c>
      <c r="B272" t="s">
        <v>807</v>
      </c>
      <c r="C272" t="s">
        <v>717</v>
      </c>
      <c r="D272" t="s">
        <v>25</v>
      </c>
      <c r="E272" t="s">
        <v>31</v>
      </c>
      <c r="F272" t="s">
        <v>247</v>
      </c>
      <c r="G272">
        <v>4.87</v>
      </c>
      <c r="H272">
        <v>4</v>
      </c>
      <c r="I272">
        <v>573</v>
      </c>
      <c r="J272">
        <v>14</v>
      </c>
      <c r="K272" t="s">
        <v>48</v>
      </c>
      <c r="L272">
        <v>2025</v>
      </c>
      <c r="M272" t="s">
        <v>808</v>
      </c>
      <c r="N272">
        <v>2348</v>
      </c>
      <c r="O272" t="s">
        <v>22</v>
      </c>
    </row>
    <row r="273" spans="1:15" x14ac:dyDescent="0.3">
      <c r="A273">
        <v>272</v>
      </c>
      <c r="B273" t="s">
        <v>809</v>
      </c>
      <c r="C273" t="s">
        <v>183</v>
      </c>
      <c r="D273" t="s">
        <v>17</v>
      </c>
      <c r="E273" t="s">
        <v>195</v>
      </c>
      <c r="F273" t="s">
        <v>19</v>
      </c>
      <c r="G273">
        <v>10.26</v>
      </c>
      <c r="H273">
        <v>4.0999999999999996</v>
      </c>
      <c r="I273">
        <v>3450</v>
      </c>
      <c r="J273">
        <v>3</v>
      </c>
      <c r="K273" t="s">
        <v>360</v>
      </c>
      <c r="L273">
        <v>2024</v>
      </c>
      <c r="M273" t="s">
        <v>810</v>
      </c>
      <c r="N273">
        <v>877</v>
      </c>
      <c r="O273" t="s">
        <v>22</v>
      </c>
    </row>
    <row r="274" spans="1:15" x14ac:dyDescent="0.3">
      <c r="A274">
        <v>273</v>
      </c>
      <c r="B274" t="s">
        <v>811</v>
      </c>
      <c r="C274" t="s">
        <v>85</v>
      </c>
      <c r="D274" t="s">
        <v>17</v>
      </c>
      <c r="E274" t="s">
        <v>591</v>
      </c>
      <c r="F274" t="s">
        <v>37</v>
      </c>
      <c r="G274">
        <v>19.670000000000002</v>
      </c>
      <c r="H274">
        <v>4.2</v>
      </c>
      <c r="I274">
        <v>3425</v>
      </c>
      <c r="J274">
        <v>4</v>
      </c>
      <c r="K274" t="s">
        <v>281</v>
      </c>
      <c r="L274">
        <v>2026</v>
      </c>
      <c r="M274" t="s">
        <v>812</v>
      </c>
      <c r="N274">
        <v>5559</v>
      </c>
      <c r="O274" t="s">
        <v>22</v>
      </c>
    </row>
    <row r="275" spans="1:15" x14ac:dyDescent="0.3">
      <c r="A275">
        <v>274</v>
      </c>
      <c r="B275" t="s">
        <v>813</v>
      </c>
      <c r="C275" t="s">
        <v>659</v>
      </c>
      <c r="D275" t="s">
        <v>17</v>
      </c>
      <c r="E275" t="s">
        <v>172</v>
      </c>
      <c r="F275" t="s">
        <v>19</v>
      </c>
      <c r="G275">
        <v>15.92</v>
      </c>
      <c r="H275">
        <v>4.2</v>
      </c>
      <c r="I275">
        <v>1754</v>
      </c>
      <c r="J275">
        <v>5</v>
      </c>
      <c r="K275" t="s">
        <v>48</v>
      </c>
      <c r="L275">
        <v>2013</v>
      </c>
      <c r="M275" t="s">
        <v>814</v>
      </c>
      <c r="N275">
        <v>4623</v>
      </c>
      <c r="O275" t="s">
        <v>22</v>
      </c>
    </row>
    <row r="276" spans="1:15" x14ac:dyDescent="0.3">
      <c r="A276">
        <v>275</v>
      </c>
      <c r="B276" t="s">
        <v>815</v>
      </c>
      <c r="C276" t="s">
        <v>415</v>
      </c>
      <c r="D276" t="s">
        <v>25</v>
      </c>
      <c r="E276" t="s">
        <v>31</v>
      </c>
      <c r="F276" t="s">
        <v>19</v>
      </c>
      <c r="G276">
        <v>16.059999999999999</v>
      </c>
      <c r="H276">
        <v>4.3</v>
      </c>
      <c r="I276">
        <v>1977</v>
      </c>
      <c r="J276">
        <v>12</v>
      </c>
      <c r="K276" t="s">
        <v>640</v>
      </c>
      <c r="L276">
        <v>2022</v>
      </c>
      <c r="M276" t="s">
        <v>816</v>
      </c>
      <c r="N276">
        <v>2434</v>
      </c>
      <c r="O276" t="s">
        <v>22</v>
      </c>
    </row>
    <row r="277" spans="1:15" x14ac:dyDescent="0.3">
      <c r="A277">
        <v>276</v>
      </c>
      <c r="B277" t="s">
        <v>817</v>
      </c>
      <c r="C277" t="s">
        <v>318</v>
      </c>
      <c r="D277" t="s">
        <v>17</v>
      </c>
      <c r="E277" t="s">
        <v>568</v>
      </c>
      <c r="F277" t="s">
        <v>19</v>
      </c>
      <c r="G277">
        <v>14.47</v>
      </c>
      <c r="H277">
        <v>4.4000000000000004</v>
      </c>
      <c r="I277">
        <v>1508</v>
      </c>
      <c r="J277">
        <v>7</v>
      </c>
      <c r="K277" t="s">
        <v>82</v>
      </c>
      <c r="L277">
        <v>2020</v>
      </c>
      <c r="M277" t="s">
        <v>818</v>
      </c>
      <c r="N277">
        <v>2208</v>
      </c>
      <c r="O277" t="s">
        <v>22</v>
      </c>
    </row>
    <row r="278" spans="1:15" x14ac:dyDescent="0.3">
      <c r="A278">
        <v>277</v>
      </c>
      <c r="B278" t="s">
        <v>819</v>
      </c>
      <c r="C278" t="s">
        <v>530</v>
      </c>
      <c r="D278" t="s">
        <v>25</v>
      </c>
      <c r="E278" t="s">
        <v>228</v>
      </c>
      <c r="F278" t="s">
        <v>19</v>
      </c>
      <c r="G278">
        <v>16.14</v>
      </c>
      <c r="H278">
        <v>4.9000000000000004</v>
      </c>
      <c r="I278">
        <v>4785</v>
      </c>
      <c r="J278">
        <v>9</v>
      </c>
      <c r="K278" t="s">
        <v>290</v>
      </c>
      <c r="L278">
        <v>2025</v>
      </c>
      <c r="M278" t="s">
        <v>820</v>
      </c>
      <c r="N278">
        <v>5400</v>
      </c>
      <c r="O278" t="s">
        <v>22</v>
      </c>
    </row>
    <row r="279" spans="1:15" x14ac:dyDescent="0.3">
      <c r="A279">
        <v>278</v>
      </c>
      <c r="B279" t="s">
        <v>821</v>
      </c>
      <c r="C279" t="s">
        <v>139</v>
      </c>
      <c r="D279" t="s">
        <v>25</v>
      </c>
      <c r="E279" t="s">
        <v>126</v>
      </c>
      <c r="F279" t="s">
        <v>260</v>
      </c>
      <c r="G279">
        <v>13.12</v>
      </c>
      <c r="H279">
        <v>4.2</v>
      </c>
      <c r="I279">
        <v>4180</v>
      </c>
      <c r="J279">
        <v>1</v>
      </c>
      <c r="K279" t="s">
        <v>189</v>
      </c>
      <c r="L279">
        <v>2021</v>
      </c>
      <c r="M279" t="s">
        <v>822</v>
      </c>
      <c r="N279">
        <v>2526</v>
      </c>
      <c r="O279" t="s">
        <v>22</v>
      </c>
    </row>
    <row r="280" spans="1:15" x14ac:dyDescent="0.3">
      <c r="A280">
        <v>279</v>
      </c>
      <c r="B280" t="s">
        <v>823</v>
      </c>
      <c r="C280" t="s">
        <v>227</v>
      </c>
      <c r="D280" t="s">
        <v>25</v>
      </c>
      <c r="E280" t="s">
        <v>440</v>
      </c>
      <c r="F280" t="s">
        <v>37</v>
      </c>
      <c r="G280">
        <v>24.4</v>
      </c>
      <c r="H280">
        <v>3.8</v>
      </c>
      <c r="I280">
        <v>3849</v>
      </c>
      <c r="J280">
        <v>13</v>
      </c>
      <c r="K280" t="s">
        <v>335</v>
      </c>
      <c r="L280">
        <v>2016</v>
      </c>
      <c r="M280" t="s">
        <v>824</v>
      </c>
      <c r="N280">
        <v>5692</v>
      </c>
      <c r="O280" t="s">
        <v>22</v>
      </c>
    </row>
    <row r="281" spans="1:15" x14ac:dyDescent="0.3">
      <c r="A281">
        <v>280</v>
      </c>
      <c r="B281" t="s">
        <v>825</v>
      </c>
      <c r="C281" t="s">
        <v>826</v>
      </c>
      <c r="D281" t="s">
        <v>25</v>
      </c>
      <c r="E281" t="s">
        <v>31</v>
      </c>
      <c r="F281" t="s">
        <v>243</v>
      </c>
      <c r="G281">
        <v>28.48</v>
      </c>
      <c r="H281">
        <v>4.0999999999999996</v>
      </c>
      <c r="I281">
        <v>472</v>
      </c>
      <c r="J281">
        <v>2</v>
      </c>
      <c r="K281" t="s">
        <v>82</v>
      </c>
      <c r="L281">
        <v>2021</v>
      </c>
      <c r="M281" t="s">
        <v>827</v>
      </c>
      <c r="N281">
        <v>1995</v>
      </c>
      <c r="O281" t="s">
        <v>22</v>
      </c>
    </row>
    <row r="282" spans="1:15" x14ac:dyDescent="0.3">
      <c r="A282">
        <v>281</v>
      </c>
      <c r="B282" t="s">
        <v>828</v>
      </c>
      <c r="C282" t="s">
        <v>289</v>
      </c>
      <c r="D282" t="s">
        <v>17</v>
      </c>
      <c r="E282" t="s">
        <v>311</v>
      </c>
      <c r="F282" t="s">
        <v>19</v>
      </c>
      <c r="G282">
        <v>9.56</v>
      </c>
      <c r="H282">
        <v>4.2</v>
      </c>
      <c r="I282">
        <v>4364</v>
      </c>
      <c r="J282">
        <v>14</v>
      </c>
      <c r="K282" t="s">
        <v>335</v>
      </c>
      <c r="L282">
        <v>2016</v>
      </c>
      <c r="M282" t="s">
        <v>829</v>
      </c>
      <c r="N282">
        <v>2956</v>
      </c>
      <c r="O282" t="s">
        <v>22</v>
      </c>
    </row>
    <row r="283" spans="1:15" x14ac:dyDescent="0.3">
      <c r="A283">
        <v>282</v>
      </c>
      <c r="B283" t="s">
        <v>830</v>
      </c>
      <c r="C283" t="s">
        <v>831</v>
      </c>
      <c r="D283" t="s">
        <v>25</v>
      </c>
      <c r="E283" t="s">
        <v>73</v>
      </c>
      <c r="F283" t="s">
        <v>37</v>
      </c>
      <c r="G283">
        <v>23.44</v>
      </c>
      <c r="H283">
        <v>4.5999999999999996</v>
      </c>
      <c r="I283">
        <v>1723</v>
      </c>
      <c r="J283">
        <v>9</v>
      </c>
      <c r="K283" t="s">
        <v>59</v>
      </c>
      <c r="L283">
        <v>2026</v>
      </c>
      <c r="M283" t="s">
        <v>832</v>
      </c>
      <c r="N283">
        <v>1645</v>
      </c>
      <c r="O283" t="s">
        <v>22</v>
      </c>
    </row>
    <row r="284" spans="1:15" x14ac:dyDescent="0.3">
      <c r="A284">
        <v>283</v>
      </c>
      <c r="B284" t="s">
        <v>833</v>
      </c>
      <c r="C284" t="s">
        <v>321</v>
      </c>
      <c r="D284" t="s">
        <v>17</v>
      </c>
      <c r="E284" t="s">
        <v>18</v>
      </c>
      <c r="F284" t="s">
        <v>37</v>
      </c>
      <c r="G284">
        <v>26.05</v>
      </c>
      <c r="H284">
        <v>4.5</v>
      </c>
      <c r="I284">
        <v>2541</v>
      </c>
      <c r="J284">
        <v>10</v>
      </c>
      <c r="K284" t="s">
        <v>27</v>
      </c>
      <c r="L284">
        <v>2016</v>
      </c>
      <c r="M284" t="s">
        <v>834</v>
      </c>
      <c r="N284">
        <v>3612</v>
      </c>
      <c r="O284" t="s">
        <v>22</v>
      </c>
    </row>
    <row r="285" spans="1:15" x14ac:dyDescent="0.3">
      <c r="A285">
        <v>284</v>
      </c>
      <c r="B285" t="s">
        <v>835</v>
      </c>
      <c r="C285" t="s">
        <v>358</v>
      </c>
      <c r="D285" t="s">
        <v>25</v>
      </c>
      <c r="E285" t="s">
        <v>440</v>
      </c>
      <c r="F285" t="s">
        <v>19</v>
      </c>
      <c r="G285">
        <v>17.93</v>
      </c>
      <c r="H285">
        <v>4.2</v>
      </c>
      <c r="I285">
        <v>4756</v>
      </c>
      <c r="J285">
        <v>3</v>
      </c>
      <c r="K285" t="s">
        <v>77</v>
      </c>
      <c r="L285">
        <v>2021</v>
      </c>
      <c r="M285" t="s">
        <v>836</v>
      </c>
      <c r="N285">
        <v>6020</v>
      </c>
      <c r="O285" t="s">
        <v>22</v>
      </c>
    </row>
    <row r="286" spans="1:15" x14ac:dyDescent="0.3">
      <c r="A286">
        <v>285</v>
      </c>
      <c r="B286" t="s">
        <v>837</v>
      </c>
      <c r="C286" t="s">
        <v>571</v>
      </c>
      <c r="D286" t="s">
        <v>25</v>
      </c>
      <c r="E286" t="s">
        <v>268</v>
      </c>
      <c r="F286" t="s">
        <v>243</v>
      </c>
      <c r="G286">
        <v>18.11</v>
      </c>
      <c r="H286">
        <v>4.7</v>
      </c>
      <c r="I286">
        <v>4206</v>
      </c>
      <c r="J286">
        <v>6</v>
      </c>
      <c r="K286" t="s">
        <v>20</v>
      </c>
      <c r="L286">
        <v>2024</v>
      </c>
      <c r="M286" t="s">
        <v>838</v>
      </c>
      <c r="N286">
        <v>6033</v>
      </c>
      <c r="O286" t="s">
        <v>22</v>
      </c>
    </row>
    <row r="287" spans="1:15" x14ac:dyDescent="0.3">
      <c r="A287">
        <v>286</v>
      </c>
      <c r="B287" t="s">
        <v>839</v>
      </c>
      <c r="C287" t="s">
        <v>663</v>
      </c>
      <c r="D287" t="s">
        <v>17</v>
      </c>
      <c r="E287" t="s">
        <v>334</v>
      </c>
      <c r="F287" t="s">
        <v>37</v>
      </c>
      <c r="G287">
        <v>18.190000000000001</v>
      </c>
      <c r="H287">
        <v>4.3</v>
      </c>
      <c r="I287">
        <v>500</v>
      </c>
      <c r="J287">
        <v>10</v>
      </c>
      <c r="K287" t="s">
        <v>640</v>
      </c>
      <c r="L287">
        <v>2024</v>
      </c>
      <c r="M287" t="s">
        <v>840</v>
      </c>
      <c r="N287">
        <v>2175</v>
      </c>
      <c r="O287" t="s">
        <v>22</v>
      </c>
    </row>
    <row r="288" spans="1:15" x14ac:dyDescent="0.3">
      <c r="A288">
        <v>287</v>
      </c>
      <c r="B288" t="s">
        <v>841</v>
      </c>
      <c r="C288" t="s">
        <v>341</v>
      </c>
      <c r="D288" t="s">
        <v>25</v>
      </c>
      <c r="E288" t="s">
        <v>268</v>
      </c>
      <c r="F288" t="s">
        <v>243</v>
      </c>
      <c r="G288">
        <v>22.38</v>
      </c>
      <c r="H288">
        <v>4.3</v>
      </c>
      <c r="I288">
        <v>2928</v>
      </c>
      <c r="J288">
        <v>5</v>
      </c>
      <c r="K288" t="s">
        <v>360</v>
      </c>
      <c r="L288">
        <v>2026</v>
      </c>
      <c r="M288" t="s">
        <v>842</v>
      </c>
      <c r="N288">
        <v>6648</v>
      </c>
      <c r="O288" t="s">
        <v>22</v>
      </c>
    </row>
    <row r="289" spans="1:15" x14ac:dyDescent="0.3">
      <c r="A289">
        <v>288</v>
      </c>
      <c r="B289" t="s">
        <v>843</v>
      </c>
      <c r="C289" t="s">
        <v>183</v>
      </c>
      <c r="D289" t="s">
        <v>17</v>
      </c>
      <c r="E289" t="s">
        <v>195</v>
      </c>
      <c r="F289" t="s">
        <v>243</v>
      </c>
      <c r="G289">
        <v>26.8</v>
      </c>
      <c r="H289">
        <v>4.5</v>
      </c>
      <c r="I289">
        <v>3128</v>
      </c>
      <c r="J289">
        <v>2</v>
      </c>
      <c r="K289" t="s">
        <v>792</v>
      </c>
      <c r="L289">
        <v>2010</v>
      </c>
      <c r="M289" t="s">
        <v>844</v>
      </c>
      <c r="N289">
        <v>4361</v>
      </c>
      <c r="O289" t="s">
        <v>22</v>
      </c>
    </row>
    <row r="290" spans="1:15" x14ac:dyDescent="0.3">
      <c r="A290">
        <v>289</v>
      </c>
      <c r="B290" t="s">
        <v>845</v>
      </c>
      <c r="C290" t="s">
        <v>663</v>
      </c>
      <c r="D290" t="s">
        <v>17</v>
      </c>
      <c r="E290" t="s">
        <v>232</v>
      </c>
      <c r="F290" t="s">
        <v>19</v>
      </c>
      <c r="G290">
        <v>9.01</v>
      </c>
      <c r="H290">
        <v>4.4000000000000004</v>
      </c>
      <c r="I290">
        <v>3921</v>
      </c>
      <c r="J290">
        <v>2</v>
      </c>
      <c r="K290" t="s">
        <v>20</v>
      </c>
      <c r="L290">
        <v>2024</v>
      </c>
      <c r="M290" t="s">
        <v>846</v>
      </c>
      <c r="N290">
        <v>811</v>
      </c>
      <c r="O290" t="s">
        <v>22</v>
      </c>
    </row>
    <row r="291" spans="1:15" x14ac:dyDescent="0.3">
      <c r="A291">
        <v>290</v>
      </c>
      <c r="B291" t="s">
        <v>847</v>
      </c>
      <c r="C291" t="s">
        <v>620</v>
      </c>
      <c r="D291" t="s">
        <v>25</v>
      </c>
      <c r="E291" t="s">
        <v>412</v>
      </c>
      <c r="F291" t="s">
        <v>37</v>
      </c>
      <c r="G291">
        <v>18.89</v>
      </c>
      <c r="H291">
        <v>5</v>
      </c>
      <c r="I291">
        <v>3826</v>
      </c>
      <c r="J291">
        <v>15</v>
      </c>
      <c r="K291" t="s">
        <v>106</v>
      </c>
      <c r="L291">
        <v>2024</v>
      </c>
      <c r="M291" t="s">
        <v>848</v>
      </c>
      <c r="N291">
        <v>4016</v>
      </c>
      <c r="O291" t="s">
        <v>22</v>
      </c>
    </row>
    <row r="292" spans="1:15" x14ac:dyDescent="0.3">
      <c r="A292">
        <v>291</v>
      </c>
      <c r="B292" t="s">
        <v>849</v>
      </c>
      <c r="C292" t="s">
        <v>391</v>
      </c>
      <c r="D292" t="s">
        <v>17</v>
      </c>
      <c r="E292" t="s">
        <v>18</v>
      </c>
      <c r="F292" t="s">
        <v>247</v>
      </c>
      <c r="G292">
        <v>10.15</v>
      </c>
      <c r="H292">
        <v>4.3</v>
      </c>
      <c r="I292">
        <v>3019</v>
      </c>
      <c r="J292">
        <v>2</v>
      </c>
      <c r="K292" t="s">
        <v>106</v>
      </c>
      <c r="L292">
        <v>2023</v>
      </c>
      <c r="M292" t="s">
        <v>850</v>
      </c>
      <c r="N292">
        <v>2887</v>
      </c>
      <c r="O292" t="s">
        <v>22</v>
      </c>
    </row>
    <row r="293" spans="1:15" x14ac:dyDescent="0.3">
      <c r="A293">
        <v>292</v>
      </c>
      <c r="B293" t="s">
        <v>851</v>
      </c>
      <c r="C293" t="s">
        <v>514</v>
      </c>
      <c r="D293" t="s">
        <v>17</v>
      </c>
      <c r="E293" t="s">
        <v>172</v>
      </c>
      <c r="F293" t="s">
        <v>247</v>
      </c>
      <c r="G293">
        <v>11.21</v>
      </c>
      <c r="H293">
        <v>4.8</v>
      </c>
      <c r="I293">
        <v>3468</v>
      </c>
      <c r="J293">
        <v>8</v>
      </c>
      <c r="K293" t="s">
        <v>48</v>
      </c>
      <c r="L293">
        <v>2026</v>
      </c>
      <c r="M293" t="s">
        <v>852</v>
      </c>
      <c r="N293">
        <v>3136</v>
      </c>
      <c r="O293" t="s">
        <v>22</v>
      </c>
    </row>
    <row r="294" spans="1:15" x14ac:dyDescent="0.3">
      <c r="A294">
        <v>293</v>
      </c>
      <c r="B294" t="s">
        <v>853</v>
      </c>
      <c r="C294" t="s">
        <v>284</v>
      </c>
      <c r="D294" t="s">
        <v>25</v>
      </c>
      <c r="E294" t="s">
        <v>259</v>
      </c>
      <c r="F294" t="s">
        <v>19</v>
      </c>
      <c r="G294">
        <v>17.82</v>
      </c>
      <c r="H294">
        <v>4</v>
      </c>
      <c r="I294">
        <v>965</v>
      </c>
      <c r="J294">
        <v>2</v>
      </c>
      <c r="K294" t="s">
        <v>220</v>
      </c>
      <c r="L294">
        <v>2011</v>
      </c>
      <c r="M294" t="s">
        <v>854</v>
      </c>
      <c r="N294">
        <v>854</v>
      </c>
      <c r="O294" t="s">
        <v>22</v>
      </c>
    </row>
    <row r="295" spans="1:15" x14ac:dyDescent="0.3">
      <c r="A295">
        <v>294</v>
      </c>
      <c r="B295" t="s">
        <v>855</v>
      </c>
      <c r="C295" t="s">
        <v>510</v>
      </c>
      <c r="D295" t="s">
        <v>17</v>
      </c>
      <c r="E295" t="s">
        <v>299</v>
      </c>
      <c r="F295" t="s">
        <v>37</v>
      </c>
      <c r="G295">
        <v>19.59</v>
      </c>
      <c r="H295">
        <v>4.5999999999999996</v>
      </c>
      <c r="I295">
        <v>2929</v>
      </c>
      <c r="J295">
        <v>1</v>
      </c>
      <c r="K295" t="s">
        <v>322</v>
      </c>
      <c r="L295">
        <v>2015</v>
      </c>
      <c r="M295" t="s">
        <v>856</v>
      </c>
      <c r="N295">
        <v>1903</v>
      </c>
      <c r="O295" t="s">
        <v>22</v>
      </c>
    </row>
    <row r="296" spans="1:15" x14ac:dyDescent="0.3">
      <c r="A296">
        <v>295</v>
      </c>
      <c r="B296" t="s">
        <v>857</v>
      </c>
      <c r="C296" t="s">
        <v>76</v>
      </c>
      <c r="D296" t="s">
        <v>25</v>
      </c>
      <c r="E296" t="s">
        <v>26</v>
      </c>
      <c r="F296" t="s">
        <v>19</v>
      </c>
      <c r="G296">
        <v>10.92</v>
      </c>
      <c r="H296">
        <v>4</v>
      </c>
      <c r="I296">
        <v>3052</v>
      </c>
      <c r="J296">
        <v>12</v>
      </c>
      <c r="K296" t="s">
        <v>200</v>
      </c>
      <c r="L296">
        <v>2023</v>
      </c>
      <c r="M296" t="s">
        <v>858</v>
      </c>
      <c r="N296">
        <v>3699</v>
      </c>
      <c r="O296" t="s">
        <v>22</v>
      </c>
    </row>
    <row r="297" spans="1:15" x14ac:dyDescent="0.3">
      <c r="A297">
        <v>296</v>
      </c>
      <c r="B297" t="s">
        <v>859</v>
      </c>
      <c r="C297" t="s">
        <v>394</v>
      </c>
      <c r="D297" t="s">
        <v>25</v>
      </c>
      <c r="E297" t="s">
        <v>228</v>
      </c>
      <c r="F297" t="s">
        <v>247</v>
      </c>
      <c r="G297">
        <v>4.7300000000000004</v>
      </c>
      <c r="H297">
        <v>4.4000000000000004</v>
      </c>
      <c r="I297">
        <v>4094</v>
      </c>
      <c r="J297">
        <v>2</v>
      </c>
      <c r="K297" t="s">
        <v>82</v>
      </c>
      <c r="L297">
        <v>2021</v>
      </c>
      <c r="M297" t="s">
        <v>860</v>
      </c>
      <c r="N297">
        <v>2442</v>
      </c>
      <c r="O297" t="s">
        <v>22</v>
      </c>
    </row>
    <row r="298" spans="1:15" x14ac:dyDescent="0.3">
      <c r="A298">
        <v>297</v>
      </c>
      <c r="B298" t="s">
        <v>861</v>
      </c>
      <c r="C298" t="s">
        <v>862</v>
      </c>
      <c r="D298" t="s">
        <v>17</v>
      </c>
      <c r="E298" t="s">
        <v>188</v>
      </c>
      <c r="F298" t="s">
        <v>19</v>
      </c>
      <c r="G298">
        <v>12.54</v>
      </c>
      <c r="H298">
        <v>4.2</v>
      </c>
      <c r="I298">
        <v>1432</v>
      </c>
      <c r="J298">
        <v>2</v>
      </c>
      <c r="K298" t="s">
        <v>160</v>
      </c>
      <c r="L298">
        <v>2020</v>
      </c>
      <c r="M298" t="s">
        <v>863</v>
      </c>
      <c r="N298">
        <v>1599</v>
      </c>
      <c r="O298" t="s">
        <v>22</v>
      </c>
    </row>
    <row r="299" spans="1:15" x14ac:dyDescent="0.3">
      <c r="A299">
        <v>298</v>
      </c>
      <c r="B299" t="s">
        <v>864</v>
      </c>
      <c r="C299" t="s">
        <v>590</v>
      </c>
      <c r="D299" t="s">
        <v>17</v>
      </c>
      <c r="E299" t="s">
        <v>232</v>
      </c>
      <c r="F299" t="s">
        <v>19</v>
      </c>
      <c r="G299">
        <v>13.39</v>
      </c>
      <c r="H299">
        <v>3.8</v>
      </c>
      <c r="I299">
        <v>1940</v>
      </c>
      <c r="J299">
        <v>11</v>
      </c>
      <c r="K299" t="s">
        <v>59</v>
      </c>
      <c r="L299">
        <v>2026</v>
      </c>
      <c r="M299" t="s">
        <v>865</v>
      </c>
      <c r="N299">
        <v>4676</v>
      </c>
      <c r="O299" t="s">
        <v>22</v>
      </c>
    </row>
    <row r="300" spans="1:15" x14ac:dyDescent="0.3">
      <c r="A300">
        <v>299</v>
      </c>
      <c r="B300" t="s">
        <v>866</v>
      </c>
      <c r="C300" t="s">
        <v>321</v>
      </c>
      <c r="D300" t="s">
        <v>17</v>
      </c>
      <c r="E300" t="s">
        <v>236</v>
      </c>
      <c r="F300" t="s">
        <v>37</v>
      </c>
      <c r="G300">
        <v>24.04</v>
      </c>
      <c r="H300">
        <v>4.5</v>
      </c>
      <c r="I300">
        <v>194</v>
      </c>
      <c r="J300">
        <v>13</v>
      </c>
      <c r="K300" t="s">
        <v>196</v>
      </c>
      <c r="L300">
        <v>2012</v>
      </c>
      <c r="M300" t="s">
        <v>867</v>
      </c>
      <c r="N300">
        <v>7584</v>
      </c>
      <c r="O300" t="s">
        <v>22</v>
      </c>
    </row>
    <row r="301" spans="1:15" x14ac:dyDescent="0.3">
      <c r="A301">
        <v>300</v>
      </c>
      <c r="B301" t="s">
        <v>868</v>
      </c>
      <c r="C301" t="s">
        <v>280</v>
      </c>
      <c r="D301" t="s">
        <v>17</v>
      </c>
      <c r="E301" t="s">
        <v>236</v>
      </c>
      <c r="F301" t="s">
        <v>37</v>
      </c>
      <c r="G301">
        <v>23.37</v>
      </c>
      <c r="H301">
        <v>4.0999999999999996</v>
      </c>
      <c r="I301">
        <v>4586</v>
      </c>
      <c r="J301">
        <v>11</v>
      </c>
      <c r="K301" t="s">
        <v>220</v>
      </c>
      <c r="L301">
        <v>2023</v>
      </c>
      <c r="M301" t="s">
        <v>869</v>
      </c>
      <c r="N301">
        <v>4750</v>
      </c>
      <c r="O301" t="s">
        <v>22</v>
      </c>
    </row>
    <row r="302" spans="1:15" x14ac:dyDescent="0.3">
      <c r="A302">
        <v>301</v>
      </c>
      <c r="B302" t="s">
        <v>870</v>
      </c>
      <c r="C302" t="s">
        <v>194</v>
      </c>
      <c r="D302" t="s">
        <v>17</v>
      </c>
      <c r="E302" t="s">
        <v>81</v>
      </c>
      <c r="F302" t="s">
        <v>247</v>
      </c>
      <c r="G302">
        <v>9.6199999999999992</v>
      </c>
      <c r="H302">
        <v>4.2</v>
      </c>
      <c r="I302">
        <v>2977</v>
      </c>
      <c r="J302">
        <v>7</v>
      </c>
      <c r="K302" t="s">
        <v>303</v>
      </c>
      <c r="L302">
        <v>2020</v>
      </c>
      <c r="M302" t="s">
        <v>871</v>
      </c>
      <c r="N302">
        <v>5456</v>
      </c>
      <c r="O302" t="s">
        <v>22</v>
      </c>
    </row>
    <row r="303" spans="1:15" x14ac:dyDescent="0.3">
      <c r="A303">
        <v>302</v>
      </c>
      <c r="B303" t="s">
        <v>872</v>
      </c>
      <c r="C303" t="s">
        <v>597</v>
      </c>
      <c r="D303" t="s">
        <v>17</v>
      </c>
      <c r="E303" t="s">
        <v>86</v>
      </c>
      <c r="F303" t="s">
        <v>243</v>
      </c>
      <c r="G303">
        <v>20.32</v>
      </c>
      <c r="H303">
        <v>4.5999999999999996</v>
      </c>
      <c r="I303">
        <v>3897</v>
      </c>
      <c r="J303">
        <v>10</v>
      </c>
      <c r="K303" t="s">
        <v>135</v>
      </c>
      <c r="L303">
        <v>2011</v>
      </c>
      <c r="M303" t="s">
        <v>873</v>
      </c>
      <c r="N303">
        <v>5294</v>
      </c>
      <c r="O303" t="s">
        <v>22</v>
      </c>
    </row>
    <row r="304" spans="1:15" x14ac:dyDescent="0.3">
      <c r="A304">
        <v>303</v>
      </c>
      <c r="B304" t="s">
        <v>874</v>
      </c>
      <c r="C304" t="s">
        <v>167</v>
      </c>
      <c r="D304" t="s">
        <v>17</v>
      </c>
      <c r="E304" t="s">
        <v>236</v>
      </c>
      <c r="F304" t="s">
        <v>247</v>
      </c>
      <c r="G304">
        <v>8.81</v>
      </c>
      <c r="H304">
        <v>4.4000000000000004</v>
      </c>
      <c r="I304">
        <v>4748</v>
      </c>
      <c r="J304">
        <v>7</v>
      </c>
      <c r="K304" t="s">
        <v>281</v>
      </c>
      <c r="L304">
        <v>2025</v>
      </c>
      <c r="M304" t="s">
        <v>875</v>
      </c>
      <c r="N304">
        <v>3365</v>
      </c>
      <c r="O304" t="s">
        <v>22</v>
      </c>
    </row>
    <row r="305" spans="1:15" x14ac:dyDescent="0.3">
      <c r="A305">
        <v>304</v>
      </c>
      <c r="B305" t="s">
        <v>876</v>
      </c>
      <c r="C305" t="s">
        <v>877</v>
      </c>
      <c r="D305" t="s">
        <v>17</v>
      </c>
      <c r="E305" t="s">
        <v>18</v>
      </c>
      <c r="F305" t="s">
        <v>37</v>
      </c>
      <c r="G305">
        <v>20.260000000000002</v>
      </c>
      <c r="H305">
        <v>4.5</v>
      </c>
      <c r="I305">
        <v>4271</v>
      </c>
      <c r="J305">
        <v>8</v>
      </c>
      <c r="K305" t="s">
        <v>360</v>
      </c>
      <c r="L305">
        <v>2024</v>
      </c>
      <c r="M305" t="s">
        <v>878</v>
      </c>
      <c r="N305">
        <v>7675</v>
      </c>
      <c r="O305" t="s">
        <v>22</v>
      </c>
    </row>
    <row r="306" spans="1:15" x14ac:dyDescent="0.3">
      <c r="A306">
        <v>305</v>
      </c>
      <c r="B306" t="s">
        <v>879</v>
      </c>
      <c r="C306" t="s">
        <v>880</v>
      </c>
      <c r="D306" t="s">
        <v>25</v>
      </c>
      <c r="E306" t="s">
        <v>370</v>
      </c>
      <c r="F306" t="s">
        <v>247</v>
      </c>
      <c r="G306">
        <v>10.88</v>
      </c>
      <c r="H306">
        <v>4.5</v>
      </c>
      <c r="I306">
        <v>577</v>
      </c>
      <c r="J306">
        <v>11</v>
      </c>
      <c r="K306" t="s">
        <v>205</v>
      </c>
      <c r="L306">
        <v>2018</v>
      </c>
      <c r="M306" t="s">
        <v>881</v>
      </c>
      <c r="N306">
        <v>2710</v>
      </c>
      <c r="O306" t="s">
        <v>22</v>
      </c>
    </row>
    <row r="307" spans="1:15" x14ac:dyDescent="0.3">
      <c r="A307">
        <v>306</v>
      </c>
      <c r="B307" t="s">
        <v>882</v>
      </c>
      <c r="C307" t="s">
        <v>289</v>
      </c>
      <c r="D307" t="s">
        <v>17</v>
      </c>
      <c r="E307" t="s">
        <v>568</v>
      </c>
      <c r="F307" t="s">
        <v>37</v>
      </c>
      <c r="G307">
        <v>17.47</v>
      </c>
      <c r="H307">
        <v>4.2</v>
      </c>
      <c r="I307">
        <v>1355</v>
      </c>
      <c r="J307">
        <v>5</v>
      </c>
      <c r="K307" t="s">
        <v>140</v>
      </c>
      <c r="L307">
        <v>2016</v>
      </c>
      <c r="M307" t="s">
        <v>883</v>
      </c>
      <c r="N307">
        <v>5890</v>
      </c>
      <c r="O307" t="s">
        <v>22</v>
      </c>
    </row>
    <row r="308" spans="1:15" x14ac:dyDescent="0.3">
      <c r="A308">
        <v>307</v>
      </c>
      <c r="B308" t="s">
        <v>884</v>
      </c>
      <c r="C308" t="s">
        <v>831</v>
      </c>
      <c r="D308" t="s">
        <v>25</v>
      </c>
      <c r="E308" t="s">
        <v>370</v>
      </c>
      <c r="F308" t="s">
        <v>37</v>
      </c>
      <c r="G308">
        <v>23.49</v>
      </c>
      <c r="H308">
        <v>4.7</v>
      </c>
      <c r="I308">
        <v>4804</v>
      </c>
      <c r="J308">
        <v>13</v>
      </c>
      <c r="K308" t="s">
        <v>140</v>
      </c>
      <c r="L308">
        <v>2026</v>
      </c>
      <c r="M308" t="s">
        <v>885</v>
      </c>
      <c r="N308">
        <v>1615</v>
      </c>
      <c r="O308" t="s">
        <v>22</v>
      </c>
    </row>
    <row r="309" spans="1:15" x14ac:dyDescent="0.3">
      <c r="A309">
        <v>308</v>
      </c>
      <c r="B309" t="s">
        <v>886</v>
      </c>
      <c r="C309" t="s">
        <v>429</v>
      </c>
      <c r="D309" t="s">
        <v>17</v>
      </c>
      <c r="E309" t="s">
        <v>591</v>
      </c>
      <c r="F309" t="s">
        <v>243</v>
      </c>
      <c r="G309">
        <v>16.11</v>
      </c>
      <c r="H309">
        <v>4.7</v>
      </c>
      <c r="I309">
        <v>4420</v>
      </c>
      <c r="J309">
        <v>6</v>
      </c>
      <c r="K309" t="s">
        <v>48</v>
      </c>
      <c r="L309">
        <v>2024</v>
      </c>
      <c r="M309" t="s">
        <v>887</v>
      </c>
      <c r="N309">
        <v>6208</v>
      </c>
      <c r="O309" t="s">
        <v>22</v>
      </c>
    </row>
    <row r="310" spans="1:15" x14ac:dyDescent="0.3">
      <c r="A310">
        <v>309</v>
      </c>
      <c r="B310" t="s">
        <v>888</v>
      </c>
      <c r="C310" t="s">
        <v>525</v>
      </c>
      <c r="D310" t="s">
        <v>17</v>
      </c>
      <c r="E310" t="s">
        <v>96</v>
      </c>
      <c r="F310" t="s">
        <v>37</v>
      </c>
      <c r="G310">
        <v>26.1</v>
      </c>
      <c r="H310">
        <v>4.7</v>
      </c>
      <c r="I310">
        <v>4431</v>
      </c>
      <c r="J310">
        <v>14</v>
      </c>
      <c r="K310" t="s">
        <v>200</v>
      </c>
      <c r="L310">
        <v>2018</v>
      </c>
      <c r="M310" t="s">
        <v>889</v>
      </c>
      <c r="N310">
        <v>3082</v>
      </c>
      <c r="O310" t="s">
        <v>22</v>
      </c>
    </row>
    <row r="311" spans="1:15" x14ac:dyDescent="0.3">
      <c r="A311">
        <v>310</v>
      </c>
      <c r="B311" t="s">
        <v>890</v>
      </c>
      <c r="C311" t="s">
        <v>648</v>
      </c>
      <c r="D311" t="s">
        <v>17</v>
      </c>
      <c r="E311" t="s">
        <v>539</v>
      </c>
      <c r="F311" t="s">
        <v>243</v>
      </c>
      <c r="G311">
        <v>21.64</v>
      </c>
      <c r="H311">
        <v>4.2</v>
      </c>
      <c r="I311">
        <v>3510</v>
      </c>
      <c r="J311">
        <v>15</v>
      </c>
      <c r="K311" t="s">
        <v>92</v>
      </c>
      <c r="L311">
        <v>2026</v>
      </c>
      <c r="M311" t="s">
        <v>891</v>
      </c>
      <c r="N311">
        <v>3502</v>
      </c>
      <c r="O311" t="s">
        <v>22</v>
      </c>
    </row>
    <row r="312" spans="1:15" x14ac:dyDescent="0.3">
      <c r="A312">
        <v>311</v>
      </c>
      <c r="B312" t="s">
        <v>892</v>
      </c>
      <c r="C312" t="s">
        <v>385</v>
      </c>
      <c r="D312" t="s">
        <v>17</v>
      </c>
      <c r="E312" t="s">
        <v>18</v>
      </c>
      <c r="F312" t="s">
        <v>19</v>
      </c>
      <c r="G312">
        <v>10.41</v>
      </c>
      <c r="H312">
        <v>3.7</v>
      </c>
      <c r="I312">
        <v>1115</v>
      </c>
      <c r="J312">
        <v>14</v>
      </c>
      <c r="K312" t="s">
        <v>205</v>
      </c>
      <c r="L312">
        <v>2023</v>
      </c>
      <c r="M312" t="s">
        <v>893</v>
      </c>
      <c r="N312">
        <v>2757</v>
      </c>
      <c r="O312" t="s">
        <v>22</v>
      </c>
    </row>
    <row r="313" spans="1:15" x14ac:dyDescent="0.3">
      <c r="A313">
        <v>312</v>
      </c>
      <c r="B313" t="s">
        <v>894</v>
      </c>
      <c r="C313" t="s">
        <v>394</v>
      </c>
      <c r="D313" t="s">
        <v>25</v>
      </c>
      <c r="E313" t="s">
        <v>47</v>
      </c>
      <c r="F313" t="s">
        <v>37</v>
      </c>
      <c r="G313">
        <v>25.14</v>
      </c>
      <c r="H313">
        <v>4.3</v>
      </c>
      <c r="I313">
        <v>778</v>
      </c>
      <c r="J313">
        <v>8</v>
      </c>
      <c r="K313" t="s">
        <v>261</v>
      </c>
      <c r="L313">
        <v>2018</v>
      </c>
      <c r="M313" t="s">
        <v>895</v>
      </c>
      <c r="N313">
        <v>4137</v>
      </c>
      <c r="O313" t="s">
        <v>22</v>
      </c>
    </row>
    <row r="314" spans="1:15" x14ac:dyDescent="0.3">
      <c r="A314">
        <v>313</v>
      </c>
      <c r="B314" t="s">
        <v>896</v>
      </c>
      <c r="C314" t="s">
        <v>897</v>
      </c>
      <c r="D314" t="s">
        <v>25</v>
      </c>
      <c r="E314" t="s">
        <v>105</v>
      </c>
      <c r="F314" t="s">
        <v>243</v>
      </c>
      <c r="G314">
        <v>31.26</v>
      </c>
      <c r="H314">
        <v>4.4000000000000004</v>
      </c>
      <c r="I314">
        <v>3179</v>
      </c>
      <c r="J314">
        <v>3</v>
      </c>
      <c r="K314" t="s">
        <v>164</v>
      </c>
      <c r="L314">
        <v>2021</v>
      </c>
      <c r="M314" t="s">
        <v>898</v>
      </c>
      <c r="N314">
        <v>6579</v>
      </c>
      <c r="O314" t="s">
        <v>22</v>
      </c>
    </row>
    <row r="315" spans="1:15" x14ac:dyDescent="0.3">
      <c r="A315">
        <v>314</v>
      </c>
      <c r="B315" t="s">
        <v>899</v>
      </c>
      <c r="C315" t="s">
        <v>125</v>
      </c>
      <c r="D315" t="s">
        <v>25</v>
      </c>
      <c r="E315" t="s">
        <v>101</v>
      </c>
      <c r="F315" t="s">
        <v>37</v>
      </c>
      <c r="G315">
        <v>28.32</v>
      </c>
      <c r="H315">
        <v>4.8</v>
      </c>
      <c r="I315">
        <v>3306</v>
      </c>
      <c r="J315">
        <v>11</v>
      </c>
      <c r="K315" t="s">
        <v>127</v>
      </c>
      <c r="L315">
        <v>2018</v>
      </c>
      <c r="M315" t="s">
        <v>900</v>
      </c>
      <c r="N315">
        <v>1408</v>
      </c>
      <c r="O315" t="s">
        <v>22</v>
      </c>
    </row>
    <row r="316" spans="1:15" x14ac:dyDescent="0.3">
      <c r="A316">
        <v>315</v>
      </c>
      <c r="B316" t="s">
        <v>901</v>
      </c>
      <c r="C316" t="s">
        <v>768</v>
      </c>
      <c r="D316" t="s">
        <v>17</v>
      </c>
      <c r="E316" t="s">
        <v>58</v>
      </c>
      <c r="F316" t="s">
        <v>260</v>
      </c>
      <c r="G316">
        <v>11.91</v>
      </c>
      <c r="H316">
        <v>4.2</v>
      </c>
      <c r="I316">
        <v>4176</v>
      </c>
      <c r="J316">
        <v>8</v>
      </c>
      <c r="K316" t="s">
        <v>82</v>
      </c>
      <c r="L316">
        <v>2026</v>
      </c>
      <c r="M316" t="s">
        <v>902</v>
      </c>
      <c r="N316">
        <v>4176</v>
      </c>
      <c r="O316" t="s">
        <v>22</v>
      </c>
    </row>
    <row r="317" spans="1:15" x14ac:dyDescent="0.3">
      <c r="A317">
        <v>316</v>
      </c>
      <c r="B317" t="s">
        <v>903</v>
      </c>
      <c r="C317" t="s">
        <v>450</v>
      </c>
      <c r="D317" t="s">
        <v>17</v>
      </c>
      <c r="E317" t="s">
        <v>18</v>
      </c>
      <c r="F317" t="s">
        <v>243</v>
      </c>
      <c r="G317">
        <v>21.3</v>
      </c>
      <c r="H317">
        <v>4.3</v>
      </c>
      <c r="I317">
        <v>4074</v>
      </c>
      <c r="J317">
        <v>13</v>
      </c>
      <c r="K317" t="s">
        <v>360</v>
      </c>
      <c r="L317">
        <v>2026</v>
      </c>
      <c r="M317" t="s">
        <v>904</v>
      </c>
      <c r="N317">
        <v>1079</v>
      </c>
      <c r="O317" t="s">
        <v>22</v>
      </c>
    </row>
    <row r="318" spans="1:15" x14ac:dyDescent="0.3">
      <c r="A318">
        <v>317</v>
      </c>
      <c r="B318" t="s">
        <v>905</v>
      </c>
      <c r="C318" t="s">
        <v>333</v>
      </c>
      <c r="D318" t="s">
        <v>17</v>
      </c>
      <c r="E318" t="s">
        <v>236</v>
      </c>
      <c r="F318" t="s">
        <v>37</v>
      </c>
      <c r="G318">
        <v>27.99</v>
      </c>
      <c r="H318">
        <v>4.5</v>
      </c>
      <c r="I318">
        <v>816</v>
      </c>
      <c r="J318">
        <v>4</v>
      </c>
      <c r="K318" t="s">
        <v>130</v>
      </c>
      <c r="L318">
        <v>2026</v>
      </c>
      <c r="M318" t="s">
        <v>906</v>
      </c>
      <c r="N318">
        <v>5248</v>
      </c>
      <c r="O318" t="s">
        <v>22</v>
      </c>
    </row>
    <row r="319" spans="1:15" x14ac:dyDescent="0.3">
      <c r="A319">
        <v>318</v>
      </c>
      <c r="B319" t="s">
        <v>907</v>
      </c>
      <c r="C319" t="s">
        <v>369</v>
      </c>
      <c r="D319" t="s">
        <v>25</v>
      </c>
      <c r="E319" t="s">
        <v>228</v>
      </c>
      <c r="F319" t="s">
        <v>260</v>
      </c>
      <c r="G319">
        <v>8.84</v>
      </c>
      <c r="H319">
        <v>4.3</v>
      </c>
      <c r="I319">
        <v>3110</v>
      </c>
      <c r="J319">
        <v>10</v>
      </c>
      <c r="K319" t="s">
        <v>92</v>
      </c>
      <c r="L319">
        <v>2026</v>
      </c>
      <c r="M319" t="s">
        <v>908</v>
      </c>
      <c r="N319">
        <v>4406</v>
      </c>
      <c r="O319" t="s">
        <v>22</v>
      </c>
    </row>
    <row r="320" spans="1:15" x14ac:dyDescent="0.3">
      <c r="A320">
        <v>319</v>
      </c>
      <c r="B320" t="s">
        <v>909</v>
      </c>
      <c r="C320" t="s">
        <v>910</v>
      </c>
      <c r="D320" t="s">
        <v>25</v>
      </c>
      <c r="E320" t="s">
        <v>228</v>
      </c>
      <c r="F320" t="s">
        <v>247</v>
      </c>
      <c r="G320">
        <v>10.68</v>
      </c>
      <c r="H320">
        <v>4.0999999999999996</v>
      </c>
      <c r="I320">
        <v>808</v>
      </c>
      <c r="J320">
        <v>7</v>
      </c>
      <c r="K320" t="s">
        <v>148</v>
      </c>
      <c r="L320">
        <v>2019</v>
      </c>
      <c r="M320" t="s">
        <v>911</v>
      </c>
      <c r="N320">
        <v>1972</v>
      </c>
      <c r="O320" t="s">
        <v>22</v>
      </c>
    </row>
    <row r="321" spans="1:15" x14ac:dyDescent="0.3">
      <c r="A321">
        <v>320</v>
      </c>
      <c r="B321" t="s">
        <v>912</v>
      </c>
      <c r="C321" t="s">
        <v>877</v>
      </c>
      <c r="D321" t="s">
        <v>17</v>
      </c>
      <c r="E321" t="s">
        <v>311</v>
      </c>
      <c r="F321" t="s">
        <v>37</v>
      </c>
      <c r="G321">
        <v>28.5</v>
      </c>
      <c r="H321">
        <v>4.3</v>
      </c>
      <c r="I321">
        <v>3952</v>
      </c>
      <c r="J321">
        <v>5</v>
      </c>
      <c r="K321" t="s">
        <v>196</v>
      </c>
      <c r="L321">
        <v>2023</v>
      </c>
      <c r="M321" t="s">
        <v>913</v>
      </c>
      <c r="N321">
        <v>5668</v>
      </c>
      <c r="O321" t="s">
        <v>22</v>
      </c>
    </row>
    <row r="322" spans="1:15" x14ac:dyDescent="0.3">
      <c r="A322">
        <v>321</v>
      </c>
      <c r="B322" t="s">
        <v>914</v>
      </c>
      <c r="C322" t="s">
        <v>915</v>
      </c>
      <c r="D322" t="s">
        <v>25</v>
      </c>
      <c r="E322" t="s">
        <v>101</v>
      </c>
      <c r="F322" t="s">
        <v>37</v>
      </c>
      <c r="G322">
        <v>18.02</v>
      </c>
      <c r="H322">
        <v>4.5</v>
      </c>
      <c r="I322">
        <v>1096</v>
      </c>
      <c r="J322">
        <v>11</v>
      </c>
      <c r="K322" t="s">
        <v>148</v>
      </c>
      <c r="L322">
        <v>2026</v>
      </c>
      <c r="M322" t="s">
        <v>916</v>
      </c>
      <c r="N322">
        <v>1032</v>
      </c>
      <c r="O322" t="s">
        <v>22</v>
      </c>
    </row>
    <row r="323" spans="1:15" x14ac:dyDescent="0.3">
      <c r="A323">
        <v>322</v>
      </c>
      <c r="B323" t="s">
        <v>917</v>
      </c>
      <c r="C323" t="s">
        <v>187</v>
      </c>
      <c r="D323" t="s">
        <v>17</v>
      </c>
      <c r="E323" t="s">
        <v>311</v>
      </c>
      <c r="F323" t="s">
        <v>19</v>
      </c>
      <c r="G323">
        <v>14.94</v>
      </c>
      <c r="H323">
        <v>4.2</v>
      </c>
      <c r="I323">
        <v>1520</v>
      </c>
      <c r="J323">
        <v>13</v>
      </c>
      <c r="K323" t="s">
        <v>189</v>
      </c>
      <c r="L323">
        <v>2017</v>
      </c>
      <c r="M323" t="s">
        <v>918</v>
      </c>
      <c r="N323">
        <v>3215</v>
      </c>
      <c r="O323" t="s">
        <v>22</v>
      </c>
    </row>
    <row r="324" spans="1:15" x14ac:dyDescent="0.3">
      <c r="A324">
        <v>323</v>
      </c>
      <c r="B324" t="s">
        <v>919</v>
      </c>
      <c r="C324" t="s">
        <v>24</v>
      </c>
      <c r="D324" t="s">
        <v>25</v>
      </c>
      <c r="E324" t="s">
        <v>47</v>
      </c>
      <c r="F324" t="s">
        <v>19</v>
      </c>
      <c r="G324">
        <v>9.11</v>
      </c>
      <c r="H324">
        <v>4.2</v>
      </c>
      <c r="I324">
        <v>3368</v>
      </c>
      <c r="J324">
        <v>14</v>
      </c>
      <c r="K324" t="s">
        <v>322</v>
      </c>
      <c r="L324">
        <v>2024</v>
      </c>
      <c r="M324" t="s">
        <v>920</v>
      </c>
      <c r="N324">
        <v>7307</v>
      </c>
      <c r="O324" t="s">
        <v>22</v>
      </c>
    </row>
    <row r="325" spans="1:15" x14ac:dyDescent="0.3">
      <c r="A325">
        <v>324</v>
      </c>
      <c r="B325" t="s">
        <v>921</v>
      </c>
      <c r="C325" t="s">
        <v>402</v>
      </c>
      <c r="D325" t="s">
        <v>25</v>
      </c>
      <c r="E325" t="s">
        <v>105</v>
      </c>
      <c r="F325" t="s">
        <v>37</v>
      </c>
      <c r="G325">
        <v>25.44</v>
      </c>
      <c r="H325">
        <v>4.2</v>
      </c>
      <c r="I325">
        <v>3619</v>
      </c>
      <c r="J325">
        <v>14</v>
      </c>
      <c r="K325" t="s">
        <v>377</v>
      </c>
      <c r="L325">
        <v>2024</v>
      </c>
      <c r="M325" t="s">
        <v>922</v>
      </c>
      <c r="N325">
        <v>1861</v>
      </c>
      <c r="O325" t="s">
        <v>22</v>
      </c>
    </row>
    <row r="326" spans="1:15" x14ac:dyDescent="0.3">
      <c r="A326">
        <v>325</v>
      </c>
      <c r="B326" t="s">
        <v>923</v>
      </c>
      <c r="C326" t="s">
        <v>628</v>
      </c>
      <c r="D326" t="s">
        <v>17</v>
      </c>
      <c r="E326" t="s">
        <v>86</v>
      </c>
      <c r="F326" t="s">
        <v>19</v>
      </c>
      <c r="G326">
        <v>9.06</v>
      </c>
      <c r="H326">
        <v>4.0999999999999996</v>
      </c>
      <c r="I326">
        <v>3455</v>
      </c>
      <c r="J326">
        <v>14</v>
      </c>
      <c r="K326" t="s">
        <v>640</v>
      </c>
      <c r="L326">
        <v>2022</v>
      </c>
      <c r="M326" t="s">
        <v>924</v>
      </c>
      <c r="N326">
        <v>4643</v>
      </c>
      <c r="O326" t="s">
        <v>22</v>
      </c>
    </row>
    <row r="327" spans="1:15" x14ac:dyDescent="0.3">
      <c r="A327">
        <v>326</v>
      </c>
      <c r="B327" t="s">
        <v>925</v>
      </c>
      <c r="C327" t="s">
        <v>85</v>
      </c>
      <c r="D327" t="s">
        <v>17</v>
      </c>
      <c r="E327" t="s">
        <v>591</v>
      </c>
      <c r="F327" t="s">
        <v>19</v>
      </c>
      <c r="G327">
        <v>14.59</v>
      </c>
      <c r="H327">
        <v>4.0999999999999996</v>
      </c>
      <c r="I327">
        <v>2890</v>
      </c>
      <c r="J327">
        <v>8</v>
      </c>
      <c r="K327" t="s">
        <v>59</v>
      </c>
      <c r="L327">
        <v>2024</v>
      </c>
      <c r="M327" t="s">
        <v>926</v>
      </c>
      <c r="N327">
        <v>4496</v>
      </c>
      <c r="O327" t="s">
        <v>22</v>
      </c>
    </row>
    <row r="328" spans="1:15" x14ac:dyDescent="0.3">
      <c r="A328">
        <v>327</v>
      </c>
      <c r="B328" t="s">
        <v>927</v>
      </c>
      <c r="C328" t="s">
        <v>510</v>
      </c>
      <c r="D328" t="s">
        <v>17</v>
      </c>
      <c r="E328" t="s">
        <v>334</v>
      </c>
      <c r="F328" t="s">
        <v>19</v>
      </c>
      <c r="G328">
        <v>15.73</v>
      </c>
      <c r="H328">
        <v>4.3</v>
      </c>
      <c r="I328">
        <v>1684</v>
      </c>
      <c r="J328">
        <v>3</v>
      </c>
      <c r="K328" t="s">
        <v>92</v>
      </c>
      <c r="L328">
        <v>2023</v>
      </c>
      <c r="M328" t="s">
        <v>928</v>
      </c>
      <c r="N328">
        <v>2369</v>
      </c>
      <c r="O328" t="s">
        <v>22</v>
      </c>
    </row>
    <row r="329" spans="1:15" x14ac:dyDescent="0.3">
      <c r="A329">
        <v>328</v>
      </c>
      <c r="B329" t="s">
        <v>929</v>
      </c>
      <c r="C329" t="s">
        <v>325</v>
      </c>
      <c r="D329" t="s">
        <v>17</v>
      </c>
      <c r="E329" t="s">
        <v>334</v>
      </c>
      <c r="F329" t="s">
        <v>19</v>
      </c>
      <c r="G329">
        <v>11.01</v>
      </c>
      <c r="H329">
        <v>4.3</v>
      </c>
      <c r="I329">
        <v>2162</v>
      </c>
      <c r="J329">
        <v>6</v>
      </c>
      <c r="K329" t="s">
        <v>470</v>
      </c>
      <c r="L329">
        <v>2025</v>
      </c>
      <c r="M329" t="s">
        <v>930</v>
      </c>
      <c r="N329">
        <v>7647</v>
      </c>
      <c r="O329" t="s">
        <v>22</v>
      </c>
    </row>
    <row r="330" spans="1:15" x14ac:dyDescent="0.3">
      <c r="A330">
        <v>329</v>
      </c>
      <c r="B330" t="s">
        <v>931</v>
      </c>
      <c r="C330" t="s">
        <v>932</v>
      </c>
      <c r="D330" t="s">
        <v>25</v>
      </c>
      <c r="E330" t="s">
        <v>36</v>
      </c>
      <c r="F330" t="s">
        <v>37</v>
      </c>
      <c r="G330">
        <v>28.31</v>
      </c>
      <c r="H330">
        <v>4.5</v>
      </c>
      <c r="I330">
        <v>2443</v>
      </c>
      <c r="J330">
        <v>12</v>
      </c>
      <c r="K330" t="s">
        <v>660</v>
      </c>
      <c r="L330">
        <v>2021</v>
      </c>
      <c r="M330" t="s">
        <v>933</v>
      </c>
      <c r="N330">
        <v>3399</v>
      </c>
      <c r="O330" t="s">
        <v>22</v>
      </c>
    </row>
    <row r="331" spans="1:15" x14ac:dyDescent="0.3">
      <c r="A331">
        <v>330</v>
      </c>
      <c r="B331" t="s">
        <v>934</v>
      </c>
      <c r="C331" t="s">
        <v>406</v>
      </c>
      <c r="D331" t="s">
        <v>25</v>
      </c>
      <c r="E331" t="s">
        <v>73</v>
      </c>
      <c r="F331" t="s">
        <v>247</v>
      </c>
      <c r="G331">
        <v>7.73</v>
      </c>
      <c r="H331">
        <v>4.3</v>
      </c>
      <c r="I331">
        <v>2060</v>
      </c>
      <c r="J331">
        <v>3</v>
      </c>
      <c r="K331" t="s">
        <v>345</v>
      </c>
      <c r="L331">
        <v>2025</v>
      </c>
      <c r="M331" t="s">
        <v>935</v>
      </c>
      <c r="N331">
        <v>4046</v>
      </c>
      <c r="O331" t="s">
        <v>22</v>
      </c>
    </row>
    <row r="332" spans="1:15" x14ac:dyDescent="0.3">
      <c r="A332">
        <v>331</v>
      </c>
      <c r="B332" t="s">
        <v>936</v>
      </c>
      <c r="C332" t="s">
        <v>62</v>
      </c>
      <c r="D332" t="s">
        <v>17</v>
      </c>
      <c r="E332" t="s">
        <v>159</v>
      </c>
      <c r="F332" t="s">
        <v>37</v>
      </c>
      <c r="G332">
        <v>22.1</v>
      </c>
      <c r="H332">
        <v>5</v>
      </c>
      <c r="I332">
        <v>1286</v>
      </c>
      <c r="J332">
        <v>15</v>
      </c>
      <c r="K332" t="s">
        <v>792</v>
      </c>
      <c r="L332">
        <v>2023</v>
      </c>
      <c r="M332" t="s">
        <v>937</v>
      </c>
      <c r="N332">
        <v>7918</v>
      </c>
      <c r="O332" t="s">
        <v>22</v>
      </c>
    </row>
    <row r="333" spans="1:15" x14ac:dyDescent="0.3">
      <c r="A333">
        <v>332</v>
      </c>
      <c r="B333" t="s">
        <v>938</v>
      </c>
      <c r="C333" t="s">
        <v>223</v>
      </c>
      <c r="D333" t="s">
        <v>17</v>
      </c>
      <c r="E333" t="s">
        <v>334</v>
      </c>
      <c r="F333" t="s">
        <v>37</v>
      </c>
      <c r="G333">
        <v>28.53</v>
      </c>
      <c r="H333">
        <v>4.5</v>
      </c>
      <c r="I333">
        <v>3363</v>
      </c>
      <c r="J333">
        <v>13</v>
      </c>
      <c r="K333" t="s">
        <v>27</v>
      </c>
      <c r="L333">
        <v>2018</v>
      </c>
      <c r="M333" t="s">
        <v>939</v>
      </c>
      <c r="N333">
        <v>3858</v>
      </c>
      <c r="O333" t="s">
        <v>22</v>
      </c>
    </row>
    <row r="334" spans="1:15" x14ac:dyDescent="0.3">
      <c r="A334">
        <v>333</v>
      </c>
      <c r="B334" t="s">
        <v>940</v>
      </c>
      <c r="C334" t="s">
        <v>53</v>
      </c>
      <c r="D334" t="s">
        <v>25</v>
      </c>
      <c r="E334" t="s">
        <v>47</v>
      </c>
      <c r="F334" t="s">
        <v>243</v>
      </c>
      <c r="G334">
        <v>25.79</v>
      </c>
      <c r="H334">
        <v>4.4000000000000004</v>
      </c>
      <c r="I334">
        <v>2539</v>
      </c>
      <c r="J334">
        <v>12</v>
      </c>
      <c r="K334" t="s">
        <v>660</v>
      </c>
      <c r="L334">
        <v>2021</v>
      </c>
      <c r="M334" t="s">
        <v>941</v>
      </c>
      <c r="N334">
        <v>2793</v>
      </c>
      <c r="O334" t="s">
        <v>22</v>
      </c>
    </row>
    <row r="335" spans="1:15" x14ac:dyDescent="0.3">
      <c r="A335">
        <v>334</v>
      </c>
      <c r="B335" t="s">
        <v>942</v>
      </c>
      <c r="C335" t="s">
        <v>231</v>
      </c>
      <c r="D335" t="s">
        <v>17</v>
      </c>
      <c r="E335" t="s">
        <v>511</v>
      </c>
      <c r="F335" t="s">
        <v>19</v>
      </c>
      <c r="G335">
        <v>16.05</v>
      </c>
      <c r="H335">
        <v>4.9000000000000004</v>
      </c>
      <c r="I335">
        <v>4742</v>
      </c>
      <c r="J335">
        <v>11</v>
      </c>
      <c r="K335" t="s">
        <v>127</v>
      </c>
      <c r="L335">
        <v>2016</v>
      </c>
      <c r="M335" t="s">
        <v>943</v>
      </c>
      <c r="N335">
        <v>4898</v>
      </c>
      <c r="O335" t="s">
        <v>22</v>
      </c>
    </row>
    <row r="336" spans="1:15" x14ac:dyDescent="0.3">
      <c r="A336">
        <v>335</v>
      </c>
      <c r="B336" t="s">
        <v>944</v>
      </c>
      <c r="C336" t="s">
        <v>473</v>
      </c>
      <c r="D336" t="s">
        <v>25</v>
      </c>
      <c r="E336" t="s">
        <v>105</v>
      </c>
      <c r="F336" t="s">
        <v>19</v>
      </c>
      <c r="G336">
        <v>15.08</v>
      </c>
      <c r="H336">
        <v>4.0999999999999996</v>
      </c>
      <c r="I336">
        <v>3284</v>
      </c>
      <c r="J336">
        <v>14</v>
      </c>
      <c r="K336" t="s">
        <v>271</v>
      </c>
      <c r="L336">
        <v>2019</v>
      </c>
      <c r="M336" t="s">
        <v>945</v>
      </c>
      <c r="N336">
        <v>6664</v>
      </c>
      <c r="O336" t="s">
        <v>22</v>
      </c>
    </row>
    <row r="337" spans="1:15" x14ac:dyDescent="0.3">
      <c r="A337">
        <v>336</v>
      </c>
      <c r="B337" t="s">
        <v>946</v>
      </c>
      <c r="C337" t="s">
        <v>199</v>
      </c>
      <c r="D337" t="s">
        <v>17</v>
      </c>
      <c r="E337" t="s">
        <v>539</v>
      </c>
      <c r="F337" t="s">
        <v>247</v>
      </c>
      <c r="G337">
        <v>12.49</v>
      </c>
      <c r="H337">
        <v>4.5999999999999996</v>
      </c>
      <c r="I337">
        <v>3075</v>
      </c>
      <c r="J337">
        <v>15</v>
      </c>
      <c r="K337" t="s">
        <v>286</v>
      </c>
      <c r="L337">
        <v>2026</v>
      </c>
      <c r="M337" t="s">
        <v>947</v>
      </c>
      <c r="N337">
        <v>5355</v>
      </c>
      <c r="O337" t="s">
        <v>22</v>
      </c>
    </row>
    <row r="338" spans="1:15" x14ac:dyDescent="0.3">
      <c r="A338">
        <v>337</v>
      </c>
      <c r="B338" t="s">
        <v>948</v>
      </c>
      <c r="C338" t="s">
        <v>492</v>
      </c>
      <c r="D338" t="s">
        <v>17</v>
      </c>
      <c r="E338" t="s">
        <v>81</v>
      </c>
      <c r="F338" t="s">
        <v>19</v>
      </c>
      <c r="G338">
        <v>17.04</v>
      </c>
      <c r="H338">
        <v>4.5</v>
      </c>
      <c r="I338">
        <v>4054</v>
      </c>
      <c r="J338">
        <v>1</v>
      </c>
      <c r="K338" t="s">
        <v>106</v>
      </c>
      <c r="L338">
        <v>2016</v>
      </c>
      <c r="M338" t="s">
        <v>949</v>
      </c>
      <c r="N338">
        <v>5368</v>
      </c>
      <c r="O338" t="s">
        <v>22</v>
      </c>
    </row>
    <row r="339" spans="1:15" x14ac:dyDescent="0.3">
      <c r="A339">
        <v>338</v>
      </c>
      <c r="B339" t="s">
        <v>950</v>
      </c>
      <c r="C339" t="s">
        <v>434</v>
      </c>
      <c r="D339" t="s">
        <v>25</v>
      </c>
      <c r="E339" t="s">
        <v>101</v>
      </c>
      <c r="F339" t="s">
        <v>37</v>
      </c>
      <c r="G339">
        <v>22.32</v>
      </c>
      <c r="H339">
        <v>4.3</v>
      </c>
      <c r="I339">
        <v>1957</v>
      </c>
      <c r="J339">
        <v>15</v>
      </c>
      <c r="K339" t="s">
        <v>377</v>
      </c>
      <c r="L339">
        <v>2021</v>
      </c>
      <c r="M339" t="s">
        <v>951</v>
      </c>
      <c r="N339">
        <v>5967</v>
      </c>
      <c r="O339" t="s">
        <v>22</v>
      </c>
    </row>
    <row r="340" spans="1:15" x14ac:dyDescent="0.3">
      <c r="A340">
        <v>339</v>
      </c>
      <c r="B340" t="s">
        <v>952</v>
      </c>
      <c r="C340" t="s">
        <v>659</v>
      </c>
      <c r="D340" t="s">
        <v>17</v>
      </c>
      <c r="E340" t="s">
        <v>539</v>
      </c>
      <c r="F340" t="s">
        <v>243</v>
      </c>
      <c r="G340">
        <v>17.399999999999999</v>
      </c>
      <c r="H340">
        <v>4.5</v>
      </c>
      <c r="I340">
        <v>205</v>
      </c>
      <c r="J340">
        <v>5</v>
      </c>
      <c r="K340" t="s">
        <v>148</v>
      </c>
      <c r="L340">
        <v>2025</v>
      </c>
      <c r="M340" t="s">
        <v>953</v>
      </c>
      <c r="N340">
        <v>5649</v>
      </c>
      <c r="O340" t="s">
        <v>22</v>
      </c>
    </row>
    <row r="341" spans="1:15" x14ac:dyDescent="0.3">
      <c r="A341">
        <v>340</v>
      </c>
      <c r="B341" t="s">
        <v>954</v>
      </c>
      <c r="C341" t="s">
        <v>519</v>
      </c>
      <c r="D341" t="s">
        <v>25</v>
      </c>
      <c r="E341" t="s">
        <v>412</v>
      </c>
      <c r="F341" t="s">
        <v>19</v>
      </c>
      <c r="G341">
        <v>9.8800000000000008</v>
      </c>
      <c r="H341">
        <v>4.3</v>
      </c>
      <c r="I341">
        <v>1427</v>
      </c>
      <c r="J341">
        <v>5</v>
      </c>
      <c r="K341" t="s">
        <v>140</v>
      </c>
      <c r="L341">
        <v>2016</v>
      </c>
      <c r="M341" t="s">
        <v>955</v>
      </c>
      <c r="N341">
        <v>6239</v>
      </c>
      <c r="O341" t="s">
        <v>22</v>
      </c>
    </row>
    <row r="342" spans="1:15" x14ac:dyDescent="0.3">
      <c r="A342">
        <v>341</v>
      </c>
      <c r="B342" t="s">
        <v>956</v>
      </c>
      <c r="C342" t="s">
        <v>634</v>
      </c>
      <c r="D342" t="s">
        <v>25</v>
      </c>
      <c r="E342" t="s">
        <v>412</v>
      </c>
      <c r="F342" t="s">
        <v>243</v>
      </c>
      <c r="G342">
        <v>32.979999999999997</v>
      </c>
      <c r="H342">
        <v>4.5999999999999996</v>
      </c>
      <c r="I342">
        <v>4940</v>
      </c>
      <c r="J342">
        <v>10</v>
      </c>
      <c r="K342" t="s">
        <v>660</v>
      </c>
      <c r="L342">
        <v>2018</v>
      </c>
      <c r="M342" t="s">
        <v>957</v>
      </c>
      <c r="N342">
        <v>1178</v>
      </c>
      <c r="O342" t="s">
        <v>22</v>
      </c>
    </row>
    <row r="343" spans="1:15" x14ac:dyDescent="0.3">
      <c r="A343">
        <v>342</v>
      </c>
      <c r="B343" t="s">
        <v>958</v>
      </c>
      <c r="C343" t="s">
        <v>768</v>
      </c>
      <c r="D343" t="s">
        <v>17</v>
      </c>
      <c r="E343" t="s">
        <v>184</v>
      </c>
      <c r="F343" t="s">
        <v>19</v>
      </c>
      <c r="G343">
        <v>12.65</v>
      </c>
      <c r="H343">
        <v>4.5</v>
      </c>
      <c r="I343">
        <v>737</v>
      </c>
      <c r="J343">
        <v>14</v>
      </c>
      <c r="K343" t="s">
        <v>164</v>
      </c>
      <c r="L343">
        <v>2024</v>
      </c>
      <c r="M343" t="s">
        <v>959</v>
      </c>
      <c r="N343">
        <v>7090</v>
      </c>
      <c r="O343" t="s">
        <v>22</v>
      </c>
    </row>
    <row r="344" spans="1:15" x14ac:dyDescent="0.3">
      <c r="A344">
        <v>343</v>
      </c>
      <c r="B344" t="s">
        <v>960</v>
      </c>
      <c r="C344" t="s">
        <v>597</v>
      </c>
      <c r="D344" t="s">
        <v>17</v>
      </c>
      <c r="E344" t="s">
        <v>81</v>
      </c>
      <c r="F344" t="s">
        <v>19</v>
      </c>
      <c r="G344">
        <v>10.44</v>
      </c>
      <c r="H344">
        <v>4.3</v>
      </c>
      <c r="I344">
        <v>784</v>
      </c>
      <c r="J344">
        <v>7</v>
      </c>
      <c r="K344" t="s">
        <v>213</v>
      </c>
      <c r="L344">
        <v>2024</v>
      </c>
      <c r="M344" t="s">
        <v>961</v>
      </c>
      <c r="N344">
        <v>2413</v>
      </c>
      <c r="O344" t="s">
        <v>22</v>
      </c>
    </row>
    <row r="345" spans="1:15" x14ac:dyDescent="0.3">
      <c r="A345">
        <v>344</v>
      </c>
      <c r="B345" t="s">
        <v>962</v>
      </c>
      <c r="C345" t="s">
        <v>397</v>
      </c>
      <c r="D345" t="s">
        <v>25</v>
      </c>
      <c r="E345" t="s">
        <v>359</v>
      </c>
      <c r="F345" t="s">
        <v>243</v>
      </c>
      <c r="G345">
        <v>27.17</v>
      </c>
      <c r="H345">
        <v>4.4000000000000004</v>
      </c>
      <c r="I345">
        <v>85</v>
      </c>
      <c r="J345">
        <v>15</v>
      </c>
      <c r="K345" t="s">
        <v>130</v>
      </c>
      <c r="L345">
        <v>2010</v>
      </c>
      <c r="M345" t="s">
        <v>963</v>
      </c>
      <c r="N345">
        <v>6934</v>
      </c>
      <c r="O345" t="s">
        <v>22</v>
      </c>
    </row>
    <row r="346" spans="1:15" x14ac:dyDescent="0.3">
      <c r="A346">
        <v>345</v>
      </c>
      <c r="B346" t="s">
        <v>964</v>
      </c>
      <c r="C346" t="s">
        <v>242</v>
      </c>
      <c r="D346" t="s">
        <v>25</v>
      </c>
      <c r="E346" t="s">
        <v>91</v>
      </c>
      <c r="F346" t="s">
        <v>19</v>
      </c>
      <c r="G346">
        <v>10.73</v>
      </c>
      <c r="H346">
        <v>4.8</v>
      </c>
      <c r="I346">
        <v>2353</v>
      </c>
      <c r="J346">
        <v>11</v>
      </c>
      <c r="K346" t="s">
        <v>106</v>
      </c>
      <c r="L346">
        <v>2026</v>
      </c>
      <c r="M346" t="s">
        <v>965</v>
      </c>
      <c r="N346">
        <v>5811</v>
      </c>
      <c r="O346" t="s">
        <v>22</v>
      </c>
    </row>
    <row r="347" spans="1:15" x14ac:dyDescent="0.3">
      <c r="A347">
        <v>346</v>
      </c>
      <c r="B347" t="s">
        <v>966</v>
      </c>
      <c r="C347" t="s">
        <v>62</v>
      </c>
      <c r="D347" t="s">
        <v>17</v>
      </c>
      <c r="E347" t="s">
        <v>236</v>
      </c>
      <c r="F347" t="s">
        <v>37</v>
      </c>
      <c r="G347">
        <v>25.57</v>
      </c>
      <c r="H347">
        <v>4.4000000000000004</v>
      </c>
      <c r="I347">
        <v>4684</v>
      </c>
      <c r="J347">
        <v>11</v>
      </c>
      <c r="K347" t="s">
        <v>353</v>
      </c>
      <c r="L347">
        <v>2024</v>
      </c>
      <c r="M347" t="s">
        <v>967</v>
      </c>
      <c r="N347">
        <v>6803</v>
      </c>
      <c r="O347" t="s">
        <v>22</v>
      </c>
    </row>
    <row r="348" spans="1:15" x14ac:dyDescent="0.3">
      <c r="A348">
        <v>347</v>
      </c>
      <c r="B348" t="s">
        <v>968</v>
      </c>
      <c r="C348" t="s">
        <v>171</v>
      </c>
      <c r="D348" t="s">
        <v>17</v>
      </c>
      <c r="E348" t="s">
        <v>568</v>
      </c>
      <c r="F348" t="s">
        <v>243</v>
      </c>
      <c r="G348">
        <v>21.45</v>
      </c>
      <c r="H348">
        <v>4.5</v>
      </c>
      <c r="I348">
        <v>1047</v>
      </c>
      <c r="J348">
        <v>11</v>
      </c>
      <c r="K348" t="s">
        <v>271</v>
      </c>
      <c r="L348">
        <v>2022</v>
      </c>
      <c r="M348" t="s">
        <v>969</v>
      </c>
      <c r="N348">
        <v>7934</v>
      </c>
      <c r="O348" t="s">
        <v>22</v>
      </c>
    </row>
    <row r="349" spans="1:15" x14ac:dyDescent="0.3">
      <c r="A349">
        <v>348</v>
      </c>
      <c r="B349" t="s">
        <v>970</v>
      </c>
      <c r="C349" t="s">
        <v>258</v>
      </c>
      <c r="D349" t="s">
        <v>25</v>
      </c>
      <c r="E349" t="s">
        <v>370</v>
      </c>
      <c r="F349" t="s">
        <v>19</v>
      </c>
      <c r="G349">
        <v>11.79</v>
      </c>
      <c r="H349">
        <v>4.2</v>
      </c>
      <c r="I349">
        <v>842</v>
      </c>
      <c r="J349">
        <v>1</v>
      </c>
      <c r="K349" t="s">
        <v>59</v>
      </c>
      <c r="L349">
        <v>2022</v>
      </c>
      <c r="M349" t="s">
        <v>971</v>
      </c>
      <c r="N349">
        <v>2720</v>
      </c>
      <c r="O349" t="s">
        <v>22</v>
      </c>
    </row>
    <row r="350" spans="1:15" x14ac:dyDescent="0.3">
      <c r="A350">
        <v>349</v>
      </c>
      <c r="B350" t="s">
        <v>972</v>
      </c>
      <c r="C350" t="s">
        <v>100</v>
      </c>
      <c r="D350" t="s">
        <v>25</v>
      </c>
      <c r="E350" t="s">
        <v>31</v>
      </c>
      <c r="F350" t="s">
        <v>19</v>
      </c>
      <c r="G350">
        <v>17</v>
      </c>
      <c r="H350">
        <v>4.2</v>
      </c>
      <c r="I350">
        <v>557</v>
      </c>
      <c r="J350">
        <v>15</v>
      </c>
      <c r="K350" t="s">
        <v>349</v>
      </c>
      <c r="L350">
        <v>2025</v>
      </c>
      <c r="M350" t="s">
        <v>973</v>
      </c>
      <c r="N350">
        <v>1236</v>
      </c>
      <c r="O350" t="s">
        <v>22</v>
      </c>
    </row>
    <row r="351" spans="1:15" x14ac:dyDescent="0.3">
      <c r="A351">
        <v>350</v>
      </c>
      <c r="B351" t="s">
        <v>974</v>
      </c>
      <c r="C351" t="s">
        <v>289</v>
      </c>
      <c r="D351" t="s">
        <v>17</v>
      </c>
      <c r="E351" t="s">
        <v>232</v>
      </c>
      <c r="F351" t="s">
        <v>243</v>
      </c>
      <c r="G351">
        <v>27.37</v>
      </c>
      <c r="H351">
        <v>4</v>
      </c>
      <c r="I351">
        <v>2832</v>
      </c>
      <c r="J351">
        <v>11</v>
      </c>
      <c r="K351" t="s">
        <v>59</v>
      </c>
      <c r="L351">
        <v>2026</v>
      </c>
      <c r="M351" t="s">
        <v>975</v>
      </c>
      <c r="N351">
        <v>2276</v>
      </c>
      <c r="O351" t="s">
        <v>22</v>
      </c>
    </row>
    <row r="352" spans="1:15" x14ac:dyDescent="0.3">
      <c r="A352">
        <v>351</v>
      </c>
      <c r="B352" t="s">
        <v>976</v>
      </c>
      <c r="C352" t="s">
        <v>617</v>
      </c>
      <c r="D352" t="s">
        <v>25</v>
      </c>
      <c r="E352" t="s">
        <v>370</v>
      </c>
      <c r="F352" t="s">
        <v>247</v>
      </c>
      <c r="G352">
        <v>4.53</v>
      </c>
      <c r="H352">
        <v>4.3</v>
      </c>
      <c r="I352">
        <v>2980</v>
      </c>
      <c r="J352">
        <v>5</v>
      </c>
      <c r="K352" t="s">
        <v>377</v>
      </c>
      <c r="L352">
        <v>2023</v>
      </c>
      <c r="M352" t="s">
        <v>977</v>
      </c>
      <c r="N352">
        <v>5644</v>
      </c>
      <c r="O352" t="s">
        <v>22</v>
      </c>
    </row>
    <row r="353" spans="1:15" x14ac:dyDescent="0.3">
      <c r="A353">
        <v>352</v>
      </c>
      <c r="B353" t="s">
        <v>978</v>
      </c>
      <c r="C353" t="s">
        <v>690</v>
      </c>
      <c r="D353" t="s">
        <v>25</v>
      </c>
      <c r="E353" t="s">
        <v>409</v>
      </c>
      <c r="F353" t="s">
        <v>243</v>
      </c>
      <c r="G353">
        <v>30.7</v>
      </c>
      <c r="H353">
        <v>4.5999999999999996</v>
      </c>
      <c r="I353">
        <v>2847</v>
      </c>
      <c r="J353">
        <v>4</v>
      </c>
      <c r="K353" t="s">
        <v>261</v>
      </c>
      <c r="L353">
        <v>2024</v>
      </c>
      <c r="M353" t="s">
        <v>979</v>
      </c>
      <c r="N353">
        <v>7683</v>
      </c>
      <c r="O353" t="s">
        <v>22</v>
      </c>
    </row>
    <row r="354" spans="1:15" x14ac:dyDescent="0.3">
      <c r="A354">
        <v>353</v>
      </c>
      <c r="B354" t="s">
        <v>980</v>
      </c>
      <c r="C354" t="s">
        <v>242</v>
      </c>
      <c r="D354" t="s">
        <v>25</v>
      </c>
      <c r="E354" t="s">
        <v>277</v>
      </c>
      <c r="F354" t="s">
        <v>37</v>
      </c>
      <c r="G354">
        <v>20.100000000000001</v>
      </c>
      <c r="H354">
        <v>4.3</v>
      </c>
      <c r="I354">
        <v>2765</v>
      </c>
      <c r="J354">
        <v>13</v>
      </c>
      <c r="K354" t="s">
        <v>164</v>
      </c>
      <c r="L354">
        <v>2025</v>
      </c>
      <c r="M354" t="s">
        <v>981</v>
      </c>
      <c r="N354">
        <v>3678</v>
      </c>
      <c r="O354" t="s">
        <v>22</v>
      </c>
    </row>
    <row r="355" spans="1:15" x14ac:dyDescent="0.3">
      <c r="A355">
        <v>354</v>
      </c>
      <c r="B355" t="s">
        <v>982</v>
      </c>
      <c r="C355" t="s">
        <v>246</v>
      </c>
      <c r="D355" t="s">
        <v>25</v>
      </c>
      <c r="E355" t="s">
        <v>409</v>
      </c>
      <c r="F355" t="s">
        <v>19</v>
      </c>
      <c r="G355">
        <v>16.96</v>
      </c>
      <c r="H355">
        <v>3.8</v>
      </c>
      <c r="I355">
        <v>1477</v>
      </c>
      <c r="J355">
        <v>6</v>
      </c>
      <c r="K355" t="s">
        <v>148</v>
      </c>
      <c r="L355">
        <v>2025</v>
      </c>
      <c r="M355" t="s">
        <v>983</v>
      </c>
      <c r="N355">
        <v>7612</v>
      </c>
      <c r="O355" t="s">
        <v>22</v>
      </c>
    </row>
    <row r="356" spans="1:15" x14ac:dyDescent="0.3">
      <c r="A356">
        <v>355</v>
      </c>
      <c r="B356" t="s">
        <v>984</v>
      </c>
      <c r="C356" t="s">
        <v>985</v>
      </c>
      <c r="D356" t="s">
        <v>25</v>
      </c>
      <c r="E356" t="s">
        <v>440</v>
      </c>
      <c r="F356" t="s">
        <v>260</v>
      </c>
      <c r="G356">
        <v>14.97</v>
      </c>
      <c r="H356">
        <v>4.8</v>
      </c>
      <c r="I356">
        <v>585</v>
      </c>
      <c r="J356">
        <v>2</v>
      </c>
      <c r="K356" t="s">
        <v>213</v>
      </c>
      <c r="L356">
        <v>2016</v>
      </c>
      <c r="M356" t="s">
        <v>986</v>
      </c>
      <c r="N356">
        <v>6398</v>
      </c>
      <c r="O356" t="s">
        <v>22</v>
      </c>
    </row>
    <row r="357" spans="1:15" x14ac:dyDescent="0.3">
      <c r="A357">
        <v>356</v>
      </c>
      <c r="B357" t="s">
        <v>987</v>
      </c>
      <c r="C357" t="s">
        <v>826</v>
      </c>
      <c r="D357" t="s">
        <v>25</v>
      </c>
      <c r="E357" t="s">
        <v>359</v>
      </c>
      <c r="F357" t="s">
        <v>260</v>
      </c>
      <c r="G357">
        <v>14.19</v>
      </c>
      <c r="H357">
        <v>4.0999999999999996</v>
      </c>
      <c r="I357">
        <v>1764</v>
      </c>
      <c r="J357">
        <v>12</v>
      </c>
      <c r="K357" t="s">
        <v>220</v>
      </c>
      <c r="L357">
        <v>2014</v>
      </c>
      <c r="M357" t="s">
        <v>988</v>
      </c>
      <c r="N357">
        <v>3891</v>
      </c>
      <c r="O357" t="s">
        <v>22</v>
      </c>
    </row>
    <row r="358" spans="1:15" x14ac:dyDescent="0.3">
      <c r="A358">
        <v>357</v>
      </c>
      <c r="B358" t="s">
        <v>989</v>
      </c>
      <c r="C358" t="s">
        <v>990</v>
      </c>
      <c r="D358" t="s">
        <v>17</v>
      </c>
      <c r="E358" t="s">
        <v>539</v>
      </c>
      <c r="F358" t="s">
        <v>37</v>
      </c>
      <c r="G358">
        <v>25.29</v>
      </c>
      <c r="H358">
        <v>4.5</v>
      </c>
      <c r="I358">
        <v>1747</v>
      </c>
      <c r="J358">
        <v>4</v>
      </c>
      <c r="K358" t="s">
        <v>200</v>
      </c>
      <c r="L358">
        <v>2026</v>
      </c>
      <c r="M358" t="s">
        <v>991</v>
      </c>
      <c r="N358">
        <v>4195</v>
      </c>
      <c r="O358" t="s">
        <v>22</v>
      </c>
    </row>
    <row r="359" spans="1:15" x14ac:dyDescent="0.3">
      <c r="A359">
        <v>358</v>
      </c>
      <c r="B359" t="s">
        <v>992</v>
      </c>
      <c r="C359" t="s">
        <v>376</v>
      </c>
      <c r="D359" t="s">
        <v>25</v>
      </c>
      <c r="E359" t="s">
        <v>277</v>
      </c>
      <c r="F359" t="s">
        <v>19</v>
      </c>
      <c r="G359">
        <v>13.6</v>
      </c>
      <c r="H359">
        <v>4</v>
      </c>
      <c r="I359">
        <v>2805</v>
      </c>
      <c r="J359">
        <v>7</v>
      </c>
      <c r="K359" t="s">
        <v>196</v>
      </c>
      <c r="L359">
        <v>2022</v>
      </c>
      <c r="M359" t="s">
        <v>993</v>
      </c>
      <c r="N359">
        <v>3313</v>
      </c>
      <c r="O359" t="s">
        <v>22</v>
      </c>
    </row>
    <row r="360" spans="1:15" x14ac:dyDescent="0.3">
      <c r="A360">
        <v>359</v>
      </c>
      <c r="B360" t="s">
        <v>994</v>
      </c>
      <c r="C360" t="s">
        <v>264</v>
      </c>
      <c r="D360" t="s">
        <v>25</v>
      </c>
      <c r="E360" t="s">
        <v>101</v>
      </c>
      <c r="F360" t="s">
        <v>19</v>
      </c>
      <c r="G360">
        <v>11.04</v>
      </c>
      <c r="H360">
        <v>4.5999999999999996</v>
      </c>
      <c r="I360">
        <v>4523</v>
      </c>
      <c r="J360">
        <v>4</v>
      </c>
      <c r="K360" t="s">
        <v>326</v>
      </c>
      <c r="L360">
        <v>2020</v>
      </c>
      <c r="M360" t="s">
        <v>995</v>
      </c>
      <c r="N360">
        <v>2279</v>
      </c>
      <c r="O360" t="s">
        <v>22</v>
      </c>
    </row>
    <row r="361" spans="1:15" x14ac:dyDescent="0.3">
      <c r="A361">
        <v>360</v>
      </c>
      <c r="B361" t="s">
        <v>996</v>
      </c>
      <c r="C361" t="s">
        <v>997</v>
      </c>
      <c r="D361" t="s">
        <v>25</v>
      </c>
      <c r="E361" t="s">
        <v>268</v>
      </c>
      <c r="F361" t="s">
        <v>19</v>
      </c>
      <c r="G361">
        <v>15.5</v>
      </c>
      <c r="H361">
        <v>4.5999999999999996</v>
      </c>
      <c r="I361">
        <v>1769</v>
      </c>
      <c r="J361">
        <v>8</v>
      </c>
      <c r="K361" t="s">
        <v>640</v>
      </c>
      <c r="L361">
        <v>2018</v>
      </c>
      <c r="M361" t="s">
        <v>998</v>
      </c>
      <c r="N361">
        <v>3510</v>
      </c>
      <c r="O361" t="s">
        <v>22</v>
      </c>
    </row>
    <row r="362" spans="1:15" x14ac:dyDescent="0.3">
      <c r="A362">
        <v>361</v>
      </c>
      <c r="B362" t="s">
        <v>999</v>
      </c>
      <c r="C362" t="s">
        <v>461</v>
      </c>
      <c r="D362" t="s">
        <v>25</v>
      </c>
      <c r="E362" t="s">
        <v>259</v>
      </c>
      <c r="F362" t="s">
        <v>19</v>
      </c>
      <c r="G362">
        <v>16.28</v>
      </c>
      <c r="H362">
        <v>4.5</v>
      </c>
      <c r="I362">
        <v>3483</v>
      </c>
      <c r="J362">
        <v>7</v>
      </c>
      <c r="K362" t="s">
        <v>189</v>
      </c>
      <c r="L362">
        <v>2024</v>
      </c>
      <c r="M362" t="s">
        <v>1000</v>
      </c>
      <c r="N362">
        <v>912</v>
      </c>
      <c r="O362" t="s">
        <v>22</v>
      </c>
    </row>
    <row r="363" spans="1:15" x14ac:dyDescent="0.3">
      <c r="A363">
        <v>362</v>
      </c>
      <c r="B363" t="s">
        <v>1001</v>
      </c>
      <c r="C363" t="s">
        <v>590</v>
      </c>
      <c r="D363" t="s">
        <v>17</v>
      </c>
      <c r="E363" t="s">
        <v>539</v>
      </c>
      <c r="F363" t="s">
        <v>19</v>
      </c>
      <c r="G363">
        <v>17.649999999999999</v>
      </c>
      <c r="H363">
        <v>4.2</v>
      </c>
      <c r="I363">
        <v>2545</v>
      </c>
      <c r="J363">
        <v>2</v>
      </c>
      <c r="K363" t="s">
        <v>326</v>
      </c>
      <c r="L363">
        <v>2017</v>
      </c>
      <c r="M363" t="s">
        <v>1002</v>
      </c>
      <c r="N363">
        <v>4726</v>
      </c>
      <c r="O363" t="s">
        <v>22</v>
      </c>
    </row>
    <row r="364" spans="1:15" x14ac:dyDescent="0.3">
      <c r="A364">
        <v>363</v>
      </c>
      <c r="B364" t="s">
        <v>1003</v>
      </c>
      <c r="C364" t="s">
        <v>41</v>
      </c>
      <c r="D364" t="s">
        <v>17</v>
      </c>
      <c r="E364" t="s">
        <v>188</v>
      </c>
      <c r="F364" t="s">
        <v>19</v>
      </c>
      <c r="G364">
        <v>16.73</v>
      </c>
      <c r="H364">
        <v>4.3</v>
      </c>
      <c r="I364">
        <v>957</v>
      </c>
      <c r="J364">
        <v>3</v>
      </c>
      <c r="K364" t="s">
        <v>220</v>
      </c>
      <c r="L364">
        <v>2023</v>
      </c>
      <c r="M364" t="s">
        <v>1004</v>
      </c>
      <c r="N364">
        <v>1790</v>
      </c>
      <c r="O364" t="s">
        <v>22</v>
      </c>
    </row>
    <row r="365" spans="1:15" x14ac:dyDescent="0.3">
      <c r="A365">
        <v>364</v>
      </c>
      <c r="B365" t="s">
        <v>1005</v>
      </c>
      <c r="C365" t="s">
        <v>183</v>
      </c>
      <c r="D365" t="s">
        <v>17</v>
      </c>
      <c r="E365" t="s">
        <v>224</v>
      </c>
      <c r="F365" t="s">
        <v>247</v>
      </c>
      <c r="G365">
        <v>9.43</v>
      </c>
      <c r="H365">
        <v>4.5</v>
      </c>
      <c r="I365">
        <v>2072</v>
      </c>
      <c r="J365">
        <v>9</v>
      </c>
      <c r="K365" t="s">
        <v>353</v>
      </c>
      <c r="L365">
        <v>2020</v>
      </c>
      <c r="M365" t="s">
        <v>1006</v>
      </c>
      <c r="N365">
        <v>1048</v>
      </c>
      <c r="O365" t="s">
        <v>22</v>
      </c>
    </row>
    <row r="366" spans="1:15" x14ac:dyDescent="0.3">
      <c r="A366">
        <v>365</v>
      </c>
      <c r="B366" t="s">
        <v>1007</v>
      </c>
      <c r="C366" t="s">
        <v>1008</v>
      </c>
      <c r="D366" t="s">
        <v>25</v>
      </c>
      <c r="E366" t="s">
        <v>440</v>
      </c>
      <c r="F366" t="s">
        <v>243</v>
      </c>
      <c r="G366">
        <v>25.74</v>
      </c>
      <c r="H366">
        <v>4.4000000000000004</v>
      </c>
      <c r="I366">
        <v>1829</v>
      </c>
      <c r="J366">
        <v>15</v>
      </c>
      <c r="K366" t="s">
        <v>403</v>
      </c>
      <c r="L366">
        <v>2022</v>
      </c>
      <c r="M366" t="s">
        <v>1009</v>
      </c>
      <c r="N366">
        <v>6918</v>
      </c>
      <c r="O366" t="s">
        <v>22</v>
      </c>
    </row>
    <row r="367" spans="1:15" x14ac:dyDescent="0.3">
      <c r="A367">
        <v>366</v>
      </c>
      <c r="B367" t="s">
        <v>1010</v>
      </c>
      <c r="C367" t="s">
        <v>645</v>
      </c>
      <c r="D367" t="s">
        <v>17</v>
      </c>
      <c r="E367" t="s">
        <v>232</v>
      </c>
      <c r="F367" t="s">
        <v>19</v>
      </c>
      <c r="G367">
        <v>12.58</v>
      </c>
      <c r="H367">
        <v>4.3</v>
      </c>
      <c r="I367">
        <v>1642</v>
      </c>
      <c r="J367">
        <v>7</v>
      </c>
      <c r="K367" t="s">
        <v>140</v>
      </c>
      <c r="L367">
        <v>2012</v>
      </c>
      <c r="M367" t="s">
        <v>1011</v>
      </c>
      <c r="N367">
        <v>4703</v>
      </c>
      <c r="O367" t="s">
        <v>22</v>
      </c>
    </row>
    <row r="368" spans="1:15" x14ac:dyDescent="0.3">
      <c r="A368">
        <v>367</v>
      </c>
      <c r="B368" t="s">
        <v>1012</v>
      </c>
      <c r="C368" t="s">
        <v>1013</v>
      </c>
      <c r="D368" t="s">
        <v>25</v>
      </c>
      <c r="E368" t="s">
        <v>228</v>
      </c>
      <c r="F368" t="s">
        <v>37</v>
      </c>
      <c r="G368">
        <v>22.07</v>
      </c>
      <c r="H368">
        <v>4.8</v>
      </c>
      <c r="I368">
        <v>2288</v>
      </c>
      <c r="J368">
        <v>3</v>
      </c>
      <c r="K368" t="s">
        <v>130</v>
      </c>
      <c r="L368">
        <v>2021</v>
      </c>
      <c r="M368" t="s">
        <v>1014</v>
      </c>
      <c r="N368">
        <v>2504</v>
      </c>
      <c r="O368" t="s">
        <v>22</v>
      </c>
    </row>
    <row r="369" spans="1:15" x14ac:dyDescent="0.3">
      <c r="A369">
        <v>368</v>
      </c>
      <c r="B369" t="s">
        <v>1015</v>
      </c>
      <c r="C369" t="s">
        <v>603</v>
      </c>
      <c r="D369" t="s">
        <v>17</v>
      </c>
      <c r="E369" t="s">
        <v>58</v>
      </c>
      <c r="F369" t="s">
        <v>19</v>
      </c>
      <c r="G369">
        <v>9.1300000000000008</v>
      </c>
      <c r="H369">
        <v>4.5999999999999996</v>
      </c>
      <c r="I369">
        <v>278</v>
      </c>
      <c r="J369">
        <v>1</v>
      </c>
      <c r="K369" t="s">
        <v>160</v>
      </c>
      <c r="L369">
        <v>2020</v>
      </c>
      <c r="M369" t="s">
        <v>1016</v>
      </c>
      <c r="N369">
        <v>6667</v>
      </c>
      <c r="O369" t="s">
        <v>22</v>
      </c>
    </row>
    <row r="370" spans="1:15" x14ac:dyDescent="0.3">
      <c r="A370">
        <v>369</v>
      </c>
      <c r="B370" t="s">
        <v>1017</v>
      </c>
      <c r="C370" t="s">
        <v>639</v>
      </c>
      <c r="D370" t="s">
        <v>25</v>
      </c>
      <c r="E370" t="s">
        <v>277</v>
      </c>
      <c r="F370" t="s">
        <v>19</v>
      </c>
      <c r="G370">
        <v>11.9</v>
      </c>
      <c r="H370">
        <v>4.8</v>
      </c>
      <c r="I370">
        <v>148</v>
      </c>
      <c r="J370">
        <v>7</v>
      </c>
      <c r="K370" t="s">
        <v>144</v>
      </c>
      <c r="L370">
        <v>2018</v>
      </c>
      <c r="M370" t="s">
        <v>1018</v>
      </c>
      <c r="N370">
        <v>6062</v>
      </c>
      <c r="O370" t="s">
        <v>22</v>
      </c>
    </row>
    <row r="371" spans="1:15" x14ac:dyDescent="0.3">
      <c r="A371">
        <v>370</v>
      </c>
      <c r="B371" t="s">
        <v>1019</v>
      </c>
      <c r="C371" t="s">
        <v>1020</v>
      </c>
      <c r="D371" t="s">
        <v>17</v>
      </c>
      <c r="E371" t="s">
        <v>96</v>
      </c>
      <c r="F371" t="s">
        <v>19</v>
      </c>
      <c r="G371">
        <v>14.71</v>
      </c>
      <c r="H371">
        <v>4.4000000000000004</v>
      </c>
      <c r="I371">
        <v>2654</v>
      </c>
      <c r="J371">
        <v>14</v>
      </c>
      <c r="K371" t="s">
        <v>312</v>
      </c>
      <c r="L371">
        <v>2024</v>
      </c>
      <c r="M371" t="s">
        <v>1021</v>
      </c>
      <c r="N371">
        <v>4417</v>
      </c>
      <c r="O371" t="s">
        <v>22</v>
      </c>
    </row>
    <row r="372" spans="1:15" x14ac:dyDescent="0.3">
      <c r="A372">
        <v>371</v>
      </c>
      <c r="B372" t="s">
        <v>1022</v>
      </c>
      <c r="C372" t="s">
        <v>617</v>
      </c>
      <c r="D372" t="s">
        <v>25</v>
      </c>
      <c r="E372" t="s">
        <v>31</v>
      </c>
      <c r="F372" t="s">
        <v>19</v>
      </c>
      <c r="G372">
        <v>11.66</v>
      </c>
      <c r="H372">
        <v>4.5</v>
      </c>
      <c r="I372">
        <v>360</v>
      </c>
      <c r="J372">
        <v>4</v>
      </c>
      <c r="K372" t="s">
        <v>286</v>
      </c>
      <c r="L372">
        <v>2026</v>
      </c>
      <c r="M372" t="s">
        <v>1023</v>
      </c>
      <c r="N372">
        <v>3343</v>
      </c>
      <c r="O372" t="s">
        <v>22</v>
      </c>
    </row>
    <row r="373" spans="1:15" x14ac:dyDescent="0.3">
      <c r="A373">
        <v>372</v>
      </c>
      <c r="B373" t="s">
        <v>1024</v>
      </c>
      <c r="C373" t="s">
        <v>369</v>
      </c>
      <c r="D373" t="s">
        <v>25</v>
      </c>
      <c r="E373" t="s">
        <v>370</v>
      </c>
      <c r="F373" t="s">
        <v>37</v>
      </c>
      <c r="G373">
        <v>19.88</v>
      </c>
      <c r="H373">
        <v>4.5</v>
      </c>
      <c r="I373">
        <v>3175</v>
      </c>
      <c r="J373">
        <v>9</v>
      </c>
      <c r="K373" t="s">
        <v>200</v>
      </c>
      <c r="L373">
        <v>2020</v>
      </c>
      <c r="M373" t="s">
        <v>1025</v>
      </c>
      <c r="N373">
        <v>1317</v>
      </c>
      <c r="O373" t="s">
        <v>22</v>
      </c>
    </row>
    <row r="374" spans="1:15" x14ac:dyDescent="0.3">
      <c r="A374">
        <v>373</v>
      </c>
      <c r="B374" t="s">
        <v>1026</v>
      </c>
      <c r="C374" t="s">
        <v>728</v>
      </c>
      <c r="D374" t="s">
        <v>25</v>
      </c>
      <c r="E374" t="s">
        <v>409</v>
      </c>
      <c r="F374" t="s">
        <v>37</v>
      </c>
      <c r="G374">
        <v>24.87</v>
      </c>
      <c r="H374">
        <v>4.3</v>
      </c>
      <c r="I374">
        <v>1699</v>
      </c>
      <c r="J374">
        <v>5</v>
      </c>
      <c r="K374" t="s">
        <v>220</v>
      </c>
      <c r="L374">
        <v>2026</v>
      </c>
      <c r="M374" t="s">
        <v>1027</v>
      </c>
      <c r="N374">
        <v>2120</v>
      </c>
      <c r="O374" t="s">
        <v>22</v>
      </c>
    </row>
    <row r="375" spans="1:15" x14ac:dyDescent="0.3">
      <c r="A375">
        <v>374</v>
      </c>
      <c r="B375" t="s">
        <v>1028</v>
      </c>
      <c r="C375" t="s">
        <v>464</v>
      </c>
      <c r="D375" t="s">
        <v>17</v>
      </c>
      <c r="E375" t="s">
        <v>184</v>
      </c>
      <c r="F375" t="s">
        <v>19</v>
      </c>
      <c r="G375">
        <v>13.16</v>
      </c>
      <c r="H375">
        <v>4.7</v>
      </c>
      <c r="I375">
        <v>3765</v>
      </c>
      <c r="J375">
        <v>5</v>
      </c>
      <c r="K375" t="s">
        <v>286</v>
      </c>
      <c r="L375">
        <v>2021</v>
      </c>
      <c r="M375" t="s">
        <v>1029</v>
      </c>
      <c r="N375">
        <v>6604</v>
      </c>
      <c r="O375" t="s">
        <v>22</v>
      </c>
    </row>
    <row r="376" spans="1:15" x14ac:dyDescent="0.3">
      <c r="A376">
        <v>375</v>
      </c>
      <c r="B376" t="s">
        <v>1030</v>
      </c>
      <c r="C376" t="s">
        <v>525</v>
      </c>
      <c r="D376" t="s">
        <v>17</v>
      </c>
      <c r="E376" t="s">
        <v>236</v>
      </c>
      <c r="F376" t="s">
        <v>37</v>
      </c>
      <c r="G376">
        <v>24.64</v>
      </c>
      <c r="H376">
        <v>4.3</v>
      </c>
      <c r="I376">
        <v>1069</v>
      </c>
      <c r="J376">
        <v>7</v>
      </c>
      <c r="K376" t="s">
        <v>32</v>
      </c>
      <c r="L376">
        <v>2026</v>
      </c>
      <c r="M376" t="s">
        <v>1031</v>
      </c>
      <c r="N376">
        <v>4924</v>
      </c>
      <c r="O376" t="s">
        <v>22</v>
      </c>
    </row>
    <row r="377" spans="1:15" x14ac:dyDescent="0.3">
      <c r="A377">
        <v>376</v>
      </c>
      <c r="B377" t="s">
        <v>1032</v>
      </c>
      <c r="C377" t="s">
        <v>530</v>
      </c>
      <c r="D377" t="s">
        <v>25</v>
      </c>
      <c r="E377" t="s">
        <v>412</v>
      </c>
      <c r="F377" t="s">
        <v>37</v>
      </c>
      <c r="G377">
        <v>25.84</v>
      </c>
      <c r="H377">
        <v>4.4000000000000004</v>
      </c>
      <c r="I377">
        <v>2133</v>
      </c>
      <c r="J377">
        <v>4</v>
      </c>
      <c r="K377" t="s">
        <v>303</v>
      </c>
      <c r="L377">
        <v>2023</v>
      </c>
      <c r="M377" t="s">
        <v>1033</v>
      </c>
      <c r="N377">
        <v>6030</v>
      </c>
      <c r="O377" t="s">
        <v>22</v>
      </c>
    </row>
    <row r="378" spans="1:15" x14ac:dyDescent="0.3">
      <c r="A378">
        <v>377</v>
      </c>
      <c r="B378" t="s">
        <v>1034</v>
      </c>
      <c r="C378" t="s">
        <v>1035</v>
      </c>
      <c r="D378" t="s">
        <v>17</v>
      </c>
      <c r="E378" t="s">
        <v>96</v>
      </c>
      <c r="F378" t="s">
        <v>19</v>
      </c>
      <c r="G378">
        <v>12.69</v>
      </c>
      <c r="H378">
        <v>4.7</v>
      </c>
      <c r="I378">
        <v>778</v>
      </c>
      <c r="J378">
        <v>2</v>
      </c>
      <c r="K378" t="s">
        <v>470</v>
      </c>
      <c r="L378">
        <v>2024</v>
      </c>
      <c r="M378" t="s">
        <v>1036</v>
      </c>
      <c r="N378">
        <v>8372</v>
      </c>
      <c r="O378" t="s">
        <v>22</v>
      </c>
    </row>
    <row r="379" spans="1:15" x14ac:dyDescent="0.3">
      <c r="A379">
        <v>378</v>
      </c>
      <c r="B379" t="s">
        <v>1037</v>
      </c>
      <c r="C379" t="s">
        <v>1038</v>
      </c>
      <c r="D379" t="s">
        <v>25</v>
      </c>
      <c r="E379" t="s">
        <v>440</v>
      </c>
      <c r="F379" t="s">
        <v>19</v>
      </c>
      <c r="G379">
        <v>15.33</v>
      </c>
      <c r="H379">
        <v>4.0999999999999996</v>
      </c>
      <c r="I379">
        <v>1672</v>
      </c>
      <c r="J379">
        <v>8</v>
      </c>
      <c r="K379" t="s">
        <v>48</v>
      </c>
      <c r="L379">
        <v>2017</v>
      </c>
      <c r="M379" t="s">
        <v>1039</v>
      </c>
      <c r="N379">
        <v>2276</v>
      </c>
      <c r="O379" t="s">
        <v>22</v>
      </c>
    </row>
    <row r="380" spans="1:15" x14ac:dyDescent="0.3">
      <c r="A380">
        <v>379</v>
      </c>
      <c r="B380" t="s">
        <v>1040</v>
      </c>
      <c r="C380" t="s">
        <v>1008</v>
      </c>
      <c r="D380" t="s">
        <v>25</v>
      </c>
      <c r="E380" t="s">
        <v>91</v>
      </c>
      <c r="F380" t="s">
        <v>19</v>
      </c>
      <c r="G380">
        <v>9.26</v>
      </c>
      <c r="H380">
        <v>4.4000000000000004</v>
      </c>
      <c r="I380">
        <v>875</v>
      </c>
      <c r="J380">
        <v>1</v>
      </c>
      <c r="K380" t="s">
        <v>403</v>
      </c>
      <c r="L380">
        <v>2014</v>
      </c>
      <c r="M380" t="s">
        <v>1041</v>
      </c>
      <c r="N380">
        <v>1551</v>
      </c>
      <c r="O380" t="s">
        <v>22</v>
      </c>
    </row>
    <row r="381" spans="1:15" x14ac:dyDescent="0.3">
      <c r="A381">
        <v>380</v>
      </c>
      <c r="B381" t="s">
        <v>1042</v>
      </c>
      <c r="C381" t="s">
        <v>1043</v>
      </c>
      <c r="D381" t="s">
        <v>25</v>
      </c>
      <c r="E381" t="s">
        <v>370</v>
      </c>
      <c r="F381" t="s">
        <v>37</v>
      </c>
      <c r="G381">
        <v>21.91</v>
      </c>
      <c r="H381">
        <v>4.7</v>
      </c>
      <c r="I381">
        <v>518</v>
      </c>
      <c r="J381">
        <v>6</v>
      </c>
      <c r="K381" t="s">
        <v>92</v>
      </c>
      <c r="L381">
        <v>2026</v>
      </c>
      <c r="M381" t="s">
        <v>1044</v>
      </c>
      <c r="N381">
        <v>6701</v>
      </c>
      <c r="O381" t="s">
        <v>22</v>
      </c>
    </row>
    <row r="382" spans="1:15" x14ac:dyDescent="0.3">
      <c r="A382">
        <v>381</v>
      </c>
      <c r="B382" t="s">
        <v>1045</v>
      </c>
      <c r="C382" t="s">
        <v>690</v>
      </c>
      <c r="D382" t="s">
        <v>25</v>
      </c>
      <c r="E382" t="s">
        <v>26</v>
      </c>
      <c r="F382" t="s">
        <v>260</v>
      </c>
      <c r="G382">
        <v>13.68</v>
      </c>
      <c r="H382">
        <v>4.5999999999999996</v>
      </c>
      <c r="I382">
        <v>424</v>
      </c>
      <c r="J382">
        <v>13</v>
      </c>
      <c r="K382" t="s">
        <v>326</v>
      </c>
      <c r="L382">
        <v>2024</v>
      </c>
      <c r="M382" t="s">
        <v>1046</v>
      </c>
      <c r="N382">
        <v>4040</v>
      </c>
      <c r="O382" t="s">
        <v>22</v>
      </c>
    </row>
    <row r="383" spans="1:15" x14ac:dyDescent="0.3">
      <c r="A383">
        <v>382</v>
      </c>
      <c r="B383" t="s">
        <v>1047</v>
      </c>
      <c r="C383" t="s">
        <v>437</v>
      </c>
      <c r="D383" t="s">
        <v>25</v>
      </c>
      <c r="E383" t="s">
        <v>359</v>
      </c>
      <c r="F383" t="s">
        <v>247</v>
      </c>
      <c r="G383">
        <v>6.7</v>
      </c>
      <c r="H383">
        <v>4.4000000000000004</v>
      </c>
      <c r="I383">
        <v>4545</v>
      </c>
      <c r="J383">
        <v>14</v>
      </c>
      <c r="K383" t="s">
        <v>200</v>
      </c>
      <c r="L383">
        <v>2022</v>
      </c>
      <c r="M383" t="s">
        <v>1048</v>
      </c>
      <c r="N383">
        <v>2737</v>
      </c>
      <c r="O383" t="s">
        <v>22</v>
      </c>
    </row>
    <row r="384" spans="1:15" x14ac:dyDescent="0.3">
      <c r="A384">
        <v>383</v>
      </c>
      <c r="B384" t="s">
        <v>1049</v>
      </c>
      <c r="C384" t="s">
        <v>302</v>
      </c>
      <c r="D384" t="s">
        <v>17</v>
      </c>
      <c r="E384" t="s">
        <v>539</v>
      </c>
      <c r="F384" t="s">
        <v>37</v>
      </c>
      <c r="G384">
        <v>28.99</v>
      </c>
      <c r="H384">
        <v>4.2</v>
      </c>
      <c r="I384">
        <v>2776</v>
      </c>
      <c r="J384">
        <v>14</v>
      </c>
      <c r="K384" t="s">
        <v>353</v>
      </c>
      <c r="L384">
        <v>2018</v>
      </c>
      <c r="M384" t="s">
        <v>1050</v>
      </c>
      <c r="N384">
        <v>3854</v>
      </c>
      <c r="O384" t="s">
        <v>22</v>
      </c>
    </row>
    <row r="385" spans="1:15" x14ac:dyDescent="0.3">
      <c r="A385">
        <v>384</v>
      </c>
      <c r="B385" t="s">
        <v>1051</v>
      </c>
      <c r="C385" t="s">
        <v>1052</v>
      </c>
      <c r="D385" t="s">
        <v>17</v>
      </c>
      <c r="E385" t="s">
        <v>81</v>
      </c>
      <c r="F385" t="s">
        <v>247</v>
      </c>
      <c r="G385">
        <v>5.03</v>
      </c>
      <c r="H385">
        <v>4.2</v>
      </c>
      <c r="I385">
        <v>3062</v>
      </c>
      <c r="J385">
        <v>3</v>
      </c>
      <c r="K385" t="s">
        <v>127</v>
      </c>
      <c r="L385">
        <v>2025</v>
      </c>
      <c r="M385" t="s">
        <v>1053</v>
      </c>
      <c r="N385">
        <v>5601</v>
      </c>
      <c r="O385" t="s">
        <v>22</v>
      </c>
    </row>
    <row r="386" spans="1:15" x14ac:dyDescent="0.3">
      <c r="A386">
        <v>385</v>
      </c>
      <c r="B386" t="s">
        <v>1054</v>
      </c>
      <c r="C386" t="s">
        <v>318</v>
      </c>
      <c r="D386" t="s">
        <v>17</v>
      </c>
      <c r="E386" t="s">
        <v>18</v>
      </c>
      <c r="F386" t="s">
        <v>247</v>
      </c>
      <c r="G386">
        <v>6.66</v>
      </c>
      <c r="H386">
        <v>4.5</v>
      </c>
      <c r="I386">
        <v>1257</v>
      </c>
      <c r="J386">
        <v>10</v>
      </c>
      <c r="K386" t="s">
        <v>322</v>
      </c>
      <c r="L386">
        <v>2019</v>
      </c>
      <c r="M386" t="s">
        <v>1055</v>
      </c>
      <c r="N386">
        <v>4885</v>
      </c>
      <c r="O386" t="s">
        <v>22</v>
      </c>
    </row>
    <row r="387" spans="1:15" x14ac:dyDescent="0.3">
      <c r="A387">
        <v>386</v>
      </c>
      <c r="B387" t="s">
        <v>1056</v>
      </c>
      <c r="C387" t="s">
        <v>363</v>
      </c>
      <c r="D387" t="s">
        <v>25</v>
      </c>
      <c r="E387" t="s">
        <v>31</v>
      </c>
      <c r="F387" t="s">
        <v>19</v>
      </c>
      <c r="G387">
        <v>13.38</v>
      </c>
      <c r="H387">
        <v>4.8</v>
      </c>
      <c r="I387">
        <v>3259</v>
      </c>
      <c r="J387">
        <v>5</v>
      </c>
      <c r="K387" t="s">
        <v>303</v>
      </c>
      <c r="L387">
        <v>2026</v>
      </c>
      <c r="M387" t="s">
        <v>1057</v>
      </c>
      <c r="N387">
        <v>3536</v>
      </c>
      <c r="O387" t="s">
        <v>22</v>
      </c>
    </row>
    <row r="388" spans="1:15" x14ac:dyDescent="0.3">
      <c r="A388">
        <v>387</v>
      </c>
      <c r="B388" t="s">
        <v>1058</v>
      </c>
      <c r="C388" t="s">
        <v>910</v>
      </c>
      <c r="D388" t="s">
        <v>25</v>
      </c>
      <c r="E388" t="s">
        <v>359</v>
      </c>
      <c r="F388" t="s">
        <v>247</v>
      </c>
      <c r="G388">
        <v>9.2100000000000009</v>
      </c>
      <c r="H388">
        <v>4.5999999999999996</v>
      </c>
      <c r="I388">
        <v>2540</v>
      </c>
      <c r="J388">
        <v>8</v>
      </c>
      <c r="K388" t="s">
        <v>353</v>
      </c>
      <c r="L388">
        <v>2024</v>
      </c>
      <c r="M388" t="s">
        <v>1059</v>
      </c>
      <c r="N388">
        <v>3158</v>
      </c>
      <c r="O388" t="s">
        <v>22</v>
      </c>
    </row>
    <row r="389" spans="1:15" x14ac:dyDescent="0.3">
      <c r="A389">
        <v>388</v>
      </c>
      <c r="B389" t="s">
        <v>1060</v>
      </c>
      <c r="C389" t="s">
        <v>85</v>
      </c>
      <c r="D389" t="s">
        <v>17</v>
      </c>
      <c r="E389" t="s">
        <v>511</v>
      </c>
      <c r="F389" t="s">
        <v>19</v>
      </c>
      <c r="G389">
        <v>9.4600000000000009</v>
      </c>
      <c r="H389">
        <v>3.9</v>
      </c>
      <c r="I389">
        <v>4272</v>
      </c>
      <c r="J389">
        <v>11</v>
      </c>
      <c r="K389" t="s">
        <v>196</v>
      </c>
      <c r="L389">
        <v>2020</v>
      </c>
      <c r="M389" t="s">
        <v>1061</v>
      </c>
      <c r="N389">
        <v>2783</v>
      </c>
      <c r="O389" t="s">
        <v>22</v>
      </c>
    </row>
    <row r="390" spans="1:15" x14ac:dyDescent="0.3">
      <c r="A390">
        <v>389</v>
      </c>
      <c r="B390" t="s">
        <v>1062</v>
      </c>
      <c r="C390" t="s">
        <v>1013</v>
      </c>
      <c r="D390" t="s">
        <v>25</v>
      </c>
      <c r="E390" t="s">
        <v>26</v>
      </c>
      <c r="F390" t="s">
        <v>19</v>
      </c>
      <c r="G390">
        <v>10.09</v>
      </c>
      <c r="H390">
        <v>4.0999999999999996</v>
      </c>
      <c r="I390">
        <v>1892</v>
      </c>
      <c r="J390">
        <v>1</v>
      </c>
      <c r="K390" t="s">
        <v>353</v>
      </c>
      <c r="L390">
        <v>2023</v>
      </c>
      <c r="M390" t="s">
        <v>1063</v>
      </c>
      <c r="N390">
        <v>7285</v>
      </c>
      <c r="O390" t="s">
        <v>22</v>
      </c>
    </row>
    <row r="391" spans="1:15" x14ac:dyDescent="0.3">
      <c r="A391">
        <v>390</v>
      </c>
      <c r="B391" t="s">
        <v>1064</v>
      </c>
      <c r="C391" t="s">
        <v>1065</v>
      </c>
      <c r="D391" t="s">
        <v>17</v>
      </c>
      <c r="E391" t="s">
        <v>159</v>
      </c>
      <c r="F391" t="s">
        <v>247</v>
      </c>
      <c r="G391">
        <v>11.04</v>
      </c>
      <c r="H391">
        <v>4</v>
      </c>
      <c r="I391">
        <v>4392</v>
      </c>
      <c r="J391">
        <v>8</v>
      </c>
      <c r="K391" t="s">
        <v>640</v>
      </c>
      <c r="L391">
        <v>2014</v>
      </c>
      <c r="M391" t="s">
        <v>1066</v>
      </c>
      <c r="N391">
        <v>8690</v>
      </c>
      <c r="O391" t="s">
        <v>22</v>
      </c>
    </row>
    <row r="392" spans="1:15" x14ac:dyDescent="0.3">
      <c r="A392">
        <v>391</v>
      </c>
      <c r="B392" t="s">
        <v>1067</v>
      </c>
      <c r="C392" t="s">
        <v>394</v>
      </c>
      <c r="D392" t="s">
        <v>25</v>
      </c>
      <c r="E392" t="s">
        <v>101</v>
      </c>
      <c r="F392" t="s">
        <v>19</v>
      </c>
      <c r="G392">
        <v>15.77</v>
      </c>
      <c r="H392">
        <v>4.5</v>
      </c>
      <c r="I392">
        <v>2495</v>
      </c>
      <c r="J392">
        <v>6</v>
      </c>
      <c r="K392" t="s">
        <v>32</v>
      </c>
      <c r="L392">
        <v>2026</v>
      </c>
      <c r="M392" t="s">
        <v>1068</v>
      </c>
      <c r="N392">
        <v>3244</v>
      </c>
      <c r="O392" t="s">
        <v>22</v>
      </c>
    </row>
    <row r="393" spans="1:15" x14ac:dyDescent="0.3">
      <c r="A393">
        <v>392</v>
      </c>
      <c r="B393" t="s">
        <v>1069</v>
      </c>
      <c r="C393" t="s">
        <v>341</v>
      </c>
      <c r="D393" t="s">
        <v>25</v>
      </c>
      <c r="E393" t="s">
        <v>36</v>
      </c>
      <c r="F393" t="s">
        <v>247</v>
      </c>
      <c r="G393">
        <v>6.12</v>
      </c>
      <c r="H393">
        <v>4.5</v>
      </c>
      <c r="I393">
        <v>1590</v>
      </c>
      <c r="J393">
        <v>3</v>
      </c>
      <c r="K393" t="s">
        <v>164</v>
      </c>
      <c r="L393">
        <v>2019</v>
      </c>
      <c r="M393" t="s">
        <v>1070</v>
      </c>
      <c r="N393">
        <v>5631</v>
      </c>
      <c r="O393" t="s">
        <v>22</v>
      </c>
    </row>
    <row r="394" spans="1:15" x14ac:dyDescent="0.3">
      <c r="A394">
        <v>393</v>
      </c>
      <c r="B394" t="s">
        <v>1071</v>
      </c>
      <c r="C394" t="s">
        <v>318</v>
      </c>
      <c r="D394" t="s">
        <v>17</v>
      </c>
      <c r="E394" t="s">
        <v>568</v>
      </c>
      <c r="F394" t="s">
        <v>37</v>
      </c>
      <c r="G394">
        <v>17.91</v>
      </c>
      <c r="H394">
        <v>4.3</v>
      </c>
      <c r="I394">
        <v>1628</v>
      </c>
      <c r="J394">
        <v>12</v>
      </c>
      <c r="K394" t="s">
        <v>303</v>
      </c>
      <c r="L394">
        <v>2020</v>
      </c>
      <c r="M394" t="s">
        <v>1072</v>
      </c>
      <c r="N394">
        <v>7516</v>
      </c>
      <c r="O394" t="s">
        <v>22</v>
      </c>
    </row>
    <row r="395" spans="1:15" x14ac:dyDescent="0.3">
      <c r="A395">
        <v>394</v>
      </c>
      <c r="B395" t="s">
        <v>1073</v>
      </c>
      <c r="C395" t="s">
        <v>235</v>
      </c>
      <c r="D395" t="s">
        <v>17</v>
      </c>
      <c r="E395" t="s">
        <v>195</v>
      </c>
      <c r="F395" t="s">
        <v>19</v>
      </c>
      <c r="G395">
        <v>11.99</v>
      </c>
      <c r="H395">
        <v>3.6</v>
      </c>
      <c r="I395">
        <v>2288</v>
      </c>
      <c r="J395">
        <v>3</v>
      </c>
      <c r="K395" t="s">
        <v>144</v>
      </c>
      <c r="L395">
        <v>2026</v>
      </c>
      <c r="M395" t="s">
        <v>1074</v>
      </c>
      <c r="N395">
        <v>8811</v>
      </c>
      <c r="O395" t="s">
        <v>22</v>
      </c>
    </row>
    <row r="396" spans="1:15" x14ac:dyDescent="0.3">
      <c r="A396">
        <v>395</v>
      </c>
      <c r="B396" t="s">
        <v>1075</v>
      </c>
      <c r="C396" t="s">
        <v>530</v>
      </c>
      <c r="D396" t="s">
        <v>25</v>
      </c>
      <c r="E396" t="s">
        <v>73</v>
      </c>
      <c r="F396" t="s">
        <v>19</v>
      </c>
      <c r="G396">
        <v>9.42</v>
      </c>
      <c r="H396">
        <v>4.2</v>
      </c>
      <c r="I396">
        <v>1530</v>
      </c>
      <c r="J396">
        <v>6</v>
      </c>
      <c r="K396" t="s">
        <v>326</v>
      </c>
      <c r="L396">
        <v>2025</v>
      </c>
      <c r="M396" t="s">
        <v>1076</v>
      </c>
      <c r="N396">
        <v>4696</v>
      </c>
      <c r="O396" t="s">
        <v>22</v>
      </c>
    </row>
    <row r="397" spans="1:15" x14ac:dyDescent="0.3">
      <c r="A397">
        <v>396</v>
      </c>
      <c r="B397" t="s">
        <v>1077</v>
      </c>
      <c r="C397" t="s">
        <v>216</v>
      </c>
      <c r="D397" t="s">
        <v>17</v>
      </c>
      <c r="E397" t="s">
        <v>232</v>
      </c>
      <c r="F397" t="s">
        <v>37</v>
      </c>
      <c r="G397">
        <v>21.59</v>
      </c>
      <c r="H397">
        <v>4.8</v>
      </c>
      <c r="I397">
        <v>3889</v>
      </c>
      <c r="J397">
        <v>9</v>
      </c>
      <c r="K397" t="s">
        <v>196</v>
      </c>
      <c r="L397">
        <v>2019</v>
      </c>
      <c r="M397" t="s">
        <v>1078</v>
      </c>
      <c r="N397">
        <v>8553</v>
      </c>
      <c r="O397" t="s">
        <v>22</v>
      </c>
    </row>
    <row r="398" spans="1:15" x14ac:dyDescent="0.3">
      <c r="A398">
        <v>397</v>
      </c>
      <c r="B398" t="s">
        <v>1079</v>
      </c>
      <c r="C398" t="s">
        <v>41</v>
      </c>
      <c r="D398" t="s">
        <v>17</v>
      </c>
      <c r="E398" t="s">
        <v>236</v>
      </c>
      <c r="F398" t="s">
        <v>260</v>
      </c>
      <c r="G398">
        <v>10.96</v>
      </c>
      <c r="H398">
        <v>4</v>
      </c>
      <c r="I398">
        <v>3979</v>
      </c>
      <c r="J398">
        <v>8</v>
      </c>
      <c r="K398" t="s">
        <v>326</v>
      </c>
      <c r="L398">
        <v>2022</v>
      </c>
      <c r="M398" t="s">
        <v>1080</v>
      </c>
      <c r="N398">
        <v>5842</v>
      </c>
      <c r="O398" t="s">
        <v>22</v>
      </c>
    </row>
    <row r="399" spans="1:15" x14ac:dyDescent="0.3">
      <c r="A399">
        <v>398</v>
      </c>
      <c r="B399" t="s">
        <v>1081</v>
      </c>
      <c r="C399" t="s">
        <v>208</v>
      </c>
      <c r="D399" t="s">
        <v>25</v>
      </c>
      <c r="E399" t="s">
        <v>296</v>
      </c>
      <c r="F399" t="s">
        <v>19</v>
      </c>
      <c r="G399">
        <v>10.19</v>
      </c>
      <c r="H399">
        <v>4.4000000000000004</v>
      </c>
      <c r="I399">
        <v>2944</v>
      </c>
      <c r="J399">
        <v>1</v>
      </c>
      <c r="K399" t="s">
        <v>127</v>
      </c>
      <c r="L399">
        <v>2021</v>
      </c>
      <c r="M399" t="s">
        <v>1082</v>
      </c>
      <c r="N399">
        <v>8283</v>
      </c>
      <c r="O399" t="s">
        <v>22</v>
      </c>
    </row>
    <row r="400" spans="1:15" x14ac:dyDescent="0.3">
      <c r="A400">
        <v>399</v>
      </c>
      <c r="B400" t="s">
        <v>1083</v>
      </c>
      <c r="C400" t="s">
        <v>199</v>
      </c>
      <c r="D400" t="s">
        <v>17</v>
      </c>
      <c r="E400" t="s">
        <v>311</v>
      </c>
      <c r="F400" t="s">
        <v>243</v>
      </c>
      <c r="G400">
        <v>32.840000000000003</v>
      </c>
      <c r="H400">
        <v>4.4000000000000004</v>
      </c>
      <c r="I400">
        <v>98</v>
      </c>
      <c r="J400">
        <v>10</v>
      </c>
      <c r="K400" t="s">
        <v>27</v>
      </c>
      <c r="L400">
        <v>2022</v>
      </c>
      <c r="M400" t="s">
        <v>1084</v>
      </c>
      <c r="N400">
        <v>3848</v>
      </c>
      <c r="O400" t="s">
        <v>22</v>
      </c>
    </row>
    <row r="401" spans="1:15" x14ac:dyDescent="0.3">
      <c r="A401">
        <v>400</v>
      </c>
      <c r="B401" t="s">
        <v>1085</v>
      </c>
      <c r="C401" t="s">
        <v>880</v>
      </c>
      <c r="D401" t="s">
        <v>25</v>
      </c>
      <c r="E401" t="s">
        <v>26</v>
      </c>
      <c r="F401" t="s">
        <v>247</v>
      </c>
      <c r="G401">
        <v>6.24</v>
      </c>
      <c r="H401">
        <v>4.3</v>
      </c>
      <c r="I401">
        <v>3905</v>
      </c>
      <c r="J401">
        <v>7</v>
      </c>
      <c r="K401" t="s">
        <v>77</v>
      </c>
      <c r="L401">
        <v>2020</v>
      </c>
      <c r="M401" t="s">
        <v>1086</v>
      </c>
      <c r="N401">
        <v>2580</v>
      </c>
      <c r="O401" t="s">
        <v>22</v>
      </c>
    </row>
    <row r="402" spans="1:15" x14ac:dyDescent="0.3">
      <c r="A402">
        <v>401</v>
      </c>
      <c r="B402" t="s">
        <v>1087</v>
      </c>
      <c r="C402" t="s">
        <v>617</v>
      </c>
      <c r="D402" t="s">
        <v>25</v>
      </c>
      <c r="E402" t="s">
        <v>126</v>
      </c>
      <c r="F402" t="s">
        <v>19</v>
      </c>
      <c r="G402">
        <v>15.69</v>
      </c>
      <c r="H402">
        <v>4.5</v>
      </c>
      <c r="I402">
        <v>1680</v>
      </c>
      <c r="J402">
        <v>8</v>
      </c>
      <c r="K402" t="s">
        <v>43</v>
      </c>
      <c r="L402">
        <v>2026</v>
      </c>
      <c r="M402" t="s">
        <v>1088</v>
      </c>
      <c r="N402">
        <v>8921</v>
      </c>
      <c r="O402" t="s">
        <v>22</v>
      </c>
    </row>
    <row r="403" spans="1:15" x14ac:dyDescent="0.3">
      <c r="A403">
        <v>402</v>
      </c>
      <c r="B403" t="s">
        <v>1089</v>
      </c>
      <c r="C403" t="s">
        <v>41</v>
      </c>
      <c r="D403" t="s">
        <v>17</v>
      </c>
      <c r="E403" t="s">
        <v>311</v>
      </c>
      <c r="F403" t="s">
        <v>247</v>
      </c>
      <c r="G403">
        <v>6.12</v>
      </c>
      <c r="H403">
        <v>4.3</v>
      </c>
      <c r="I403">
        <v>2852</v>
      </c>
      <c r="J403">
        <v>7</v>
      </c>
      <c r="K403" t="s">
        <v>322</v>
      </c>
      <c r="L403">
        <v>2026</v>
      </c>
      <c r="M403" t="s">
        <v>1090</v>
      </c>
      <c r="N403">
        <v>5427</v>
      </c>
      <c r="O403" t="s">
        <v>22</v>
      </c>
    </row>
    <row r="404" spans="1:15" x14ac:dyDescent="0.3">
      <c r="A404">
        <v>403</v>
      </c>
      <c r="B404" t="s">
        <v>1091</v>
      </c>
      <c r="C404" t="s">
        <v>590</v>
      </c>
      <c r="D404" t="s">
        <v>17</v>
      </c>
      <c r="E404" t="s">
        <v>539</v>
      </c>
      <c r="F404" t="s">
        <v>247</v>
      </c>
      <c r="G404">
        <v>8.51</v>
      </c>
      <c r="H404">
        <v>4.7</v>
      </c>
      <c r="I404">
        <v>4893</v>
      </c>
      <c r="J404">
        <v>11</v>
      </c>
      <c r="K404" t="s">
        <v>144</v>
      </c>
      <c r="L404">
        <v>2024</v>
      </c>
      <c r="M404" t="s">
        <v>1092</v>
      </c>
      <c r="N404">
        <v>5292</v>
      </c>
      <c r="O404" t="s">
        <v>22</v>
      </c>
    </row>
    <row r="405" spans="1:15" x14ac:dyDescent="0.3">
      <c r="A405">
        <v>404</v>
      </c>
      <c r="B405" t="s">
        <v>1093</v>
      </c>
      <c r="C405" t="s">
        <v>289</v>
      </c>
      <c r="D405" t="s">
        <v>17</v>
      </c>
      <c r="E405" t="s">
        <v>195</v>
      </c>
      <c r="F405" t="s">
        <v>37</v>
      </c>
      <c r="G405">
        <v>23.62</v>
      </c>
      <c r="H405">
        <v>5</v>
      </c>
      <c r="I405">
        <v>473</v>
      </c>
      <c r="J405">
        <v>5</v>
      </c>
      <c r="K405" t="s">
        <v>77</v>
      </c>
      <c r="L405">
        <v>2015</v>
      </c>
      <c r="M405" t="s">
        <v>1094</v>
      </c>
      <c r="N405">
        <v>4854</v>
      </c>
      <c r="O405" t="s">
        <v>22</v>
      </c>
    </row>
    <row r="406" spans="1:15" x14ac:dyDescent="0.3">
      <c r="A406">
        <v>405</v>
      </c>
      <c r="B406" t="s">
        <v>1095</v>
      </c>
      <c r="C406" t="s">
        <v>308</v>
      </c>
      <c r="D406" t="s">
        <v>25</v>
      </c>
      <c r="E406" t="s">
        <v>296</v>
      </c>
      <c r="F406" t="s">
        <v>243</v>
      </c>
      <c r="G406">
        <v>22.26</v>
      </c>
      <c r="H406">
        <v>4.4000000000000004</v>
      </c>
      <c r="I406">
        <v>161</v>
      </c>
      <c r="J406">
        <v>11</v>
      </c>
      <c r="K406" t="s">
        <v>213</v>
      </c>
      <c r="L406">
        <v>2023</v>
      </c>
      <c r="M406" t="s">
        <v>1096</v>
      </c>
      <c r="N406">
        <v>6898</v>
      </c>
      <c r="O406" t="s">
        <v>22</v>
      </c>
    </row>
    <row r="407" spans="1:15" x14ac:dyDescent="0.3">
      <c r="A407">
        <v>406</v>
      </c>
      <c r="B407" t="s">
        <v>1097</v>
      </c>
      <c r="C407" t="s">
        <v>1098</v>
      </c>
      <c r="D407" t="s">
        <v>25</v>
      </c>
      <c r="E407" t="s">
        <v>285</v>
      </c>
      <c r="F407" t="s">
        <v>37</v>
      </c>
      <c r="G407">
        <v>20.91</v>
      </c>
      <c r="H407">
        <v>4.5</v>
      </c>
      <c r="I407">
        <v>3934</v>
      </c>
      <c r="J407">
        <v>13</v>
      </c>
      <c r="K407" t="s">
        <v>386</v>
      </c>
      <c r="L407">
        <v>2018</v>
      </c>
      <c r="M407" t="s">
        <v>1099</v>
      </c>
      <c r="N407">
        <v>7663</v>
      </c>
      <c r="O407" t="s">
        <v>22</v>
      </c>
    </row>
    <row r="408" spans="1:15" x14ac:dyDescent="0.3">
      <c r="A408">
        <v>407</v>
      </c>
      <c r="B408" t="s">
        <v>1100</v>
      </c>
      <c r="C408" t="s">
        <v>932</v>
      </c>
      <c r="D408" t="s">
        <v>25</v>
      </c>
      <c r="E408" t="s">
        <v>47</v>
      </c>
      <c r="F408" t="s">
        <v>37</v>
      </c>
      <c r="G408">
        <v>26.05</v>
      </c>
      <c r="H408">
        <v>4.5</v>
      </c>
      <c r="I408">
        <v>4688</v>
      </c>
      <c r="J408">
        <v>1</v>
      </c>
      <c r="K408" t="s">
        <v>261</v>
      </c>
      <c r="L408">
        <v>2025</v>
      </c>
      <c r="M408" t="s">
        <v>1101</v>
      </c>
      <c r="N408">
        <v>2042</v>
      </c>
      <c r="O408" t="s">
        <v>22</v>
      </c>
    </row>
    <row r="409" spans="1:15" x14ac:dyDescent="0.3">
      <c r="A409">
        <v>408</v>
      </c>
      <c r="B409" t="s">
        <v>1102</v>
      </c>
      <c r="C409" t="s">
        <v>41</v>
      </c>
      <c r="D409" t="s">
        <v>17</v>
      </c>
      <c r="E409" t="s">
        <v>81</v>
      </c>
      <c r="F409" t="s">
        <v>243</v>
      </c>
      <c r="G409">
        <v>30.8</v>
      </c>
      <c r="H409">
        <v>4.5</v>
      </c>
      <c r="I409">
        <v>3780</v>
      </c>
      <c r="J409">
        <v>9</v>
      </c>
      <c r="K409" t="s">
        <v>345</v>
      </c>
      <c r="L409">
        <v>2024</v>
      </c>
      <c r="M409" t="s">
        <v>1103</v>
      </c>
      <c r="N409">
        <v>5671</v>
      </c>
      <c r="O409" t="s">
        <v>22</v>
      </c>
    </row>
    <row r="410" spans="1:15" x14ac:dyDescent="0.3">
      <c r="A410">
        <v>409</v>
      </c>
      <c r="B410" t="s">
        <v>1104</v>
      </c>
      <c r="C410" t="s">
        <v>1105</v>
      </c>
      <c r="D410" t="s">
        <v>25</v>
      </c>
      <c r="E410" t="s">
        <v>73</v>
      </c>
      <c r="F410" t="s">
        <v>19</v>
      </c>
      <c r="G410">
        <v>17.809999999999999</v>
      </c>
      <c r="H410">
        <v>4.5999999999999996</v>
      </c>
      <c r="I410">
        <v>1001</v>
      </c>
      <c r="J410">
        <v>1</v>
      </c>
      <c r="K410" t="s">
        <v>792</v>
      </c>
      <c r="L410">
        <v>2024</v>
      </c>
      <c r="M410" t="s">
        <v>1106</v>
      </c>
      <c r="N410">
        <v>5144</v>
      </c>
      <c r="O410" t="s">
        <v>22</v>
      </c>
    </row>
    <row r="411" spans="1:15" x14ac:dyDescent="0.3">
      <c r="A411">
        <v>410</v>
      </c>
      <c r="B411" t="s">
        <v>1107</v>
      </c>
      <c r="C411" t="s">
        <v>590</v>
      </c>
      <c r="D411" t="s">
        <v>17</v>
      </c>
      <c r="E411" t="s">
        <v>81</v>
      </c>
      <c r="F411" t="s">
        <v>247</v>
      </c>
      <c r="G411">
        <v>10.18</v>
      </c>
      <c r="H411">
        <v>4.4000000000000004</v>
      </c>
      <c r="I411">
        <v>2158</v>
      </c>
      <c r="J411">
        <v>14</v>
      </c>
      <c r="K411" t="s">
        <v>286</v>
      </c>
      <c r="L411">
        <v>2024</v>
      </c>
      <c r="M411" t="s">
        <v>1108</v>
      </c>
      <c r="N411">
        <v>4434</v>
      </c>
      <c r="O411" t="s">
        <v>22</v>
      </c>
    </row>
    <row r="412" spans="1:15" x14ac:dyDescent="0.3">
      <c r="A412">
        <v>411</v>
      </c>
      <c r="B412" t="s">
        <v>1109</v>
      </c>
      <c r="C412" t="s">
        <v>571</v>
      </c>
      <c r="D412" t="s">
        <v>25</v>
      </c>
      <c r="E412" t="s">
        <v>296</v>
      </c>
      <c r="F412" t="s">
        <v>19</v>
      </c>
      <c r="G412">
        <v>16.75</v>
      </c>
      <c r="H412">
        <v>4.5</v>
      </c>
      <c r="I412">
        <v>1527</v>
      </c>
      <c r="J412">
        <v>11</v>
      </c>
      <c r="K412" t="s">
        <v>27</v>
      </c>
      <c r="L412">
        <v>2019</v>
      </c>
      <c r="M412" t="s">
        <v>1110</v>
      </c>
      <c r="N412">
        <v>3899</v>
      </c>
      <c r="O412" t="s">
        <v>22</v>
      </c>
    </row>
    <row r="413" spans="1:15" x14ac:dyDescent="0.3">
      <c r="A413">
        <v>412</v>
      </c>
      <c r="B413" t="s">
        <v>1111</v>
      </c>
      <c r="C413" t="s">
        <v>831</v>
      </c>
      <c r="D413" t="s">
        <v>25</v>
      </c>
      <c r="E413" t="s">
        <v>47</v>
      </c>
      <c r="F413" t="s">
        <v>247</v>
      </c>
      <c r="G413">
        <v>10.86</v>
      </c>
      <c r="H413">
        <v>4.7</v>
      </c>
      <c r="I413">
        <v>408</v>
      </c>
      <c r="J413">
        <v>3</v>
      </c>
      <c r="K413" t="s">
        <v>290</v>
      </c>
      <c r="L413">
        <v>2018</v>
      </c>
      <c r="M413" t="s">
        <v>1112</v>
      </c>
      <c r="N413">
        <v>1045</v>
      </c>
      <c r="O413" t="s">
        <v>22</v>
      </c>
    </row>
    <row r="414" spans="1:15" x14ac:dyDescent="0.3">
      <c r="A414">
        <v>413</v>
      </c>
      <c r="B414" t="s">
        <v>1113</v>
      </c>
      <c r="C414" t="s">
        <v>352</v>
      </c>
      <c r="D414" t="s">
        <v>17</v>
      </c>
      <c r="E414" t="s">
        <v>539</v>
      </c>
      <c r="F414" t="s">
        <v>19</v>
      </c>
      <c r="G414">
        <v>13.88</v>
      </c>
      <c r="H414">
        <v>4.4000000000000004</v>
      </c>
      <c r="I414">
        <v>223</v>
      </c>
      <c r="J414">
        <v>14</v>
      </c>
      <c r="K414" t="s">
        <v>377</v>
      </c>
      <c r="L414">
        <v>2013</v>
      </c>
      <c r="M414" t="s">
        <v>1114</v>
      </c>
      <c r="N414">
        <v>3149</v>
      </c>
      <c r="O414" t="s">
        <v>22</v>
      </c>
    </row>
    <row r="415" spans="1:15" x14ac:dyDescent="0.3">
      <c r="A415">
        <v>414</v>
      </c>
      <c r="B415" t="s">
        <v>1115</v>
      </c>
      <c r="C415" t="s">
        <v>831</v>
      </c>
      <c r="D415" t="s">
        <v>25</v>
      </c>
      <c r="E415" t="s">
        <v>440</v>
      </c>
      <c r="F415" t="s">
        <v>19</v>
      </c>
      <c r="G415">
        <v>17.600000000000001</v>
      </c>
      <c r="H415">
        <v>4.7</v>
      </c>
      <c r="I415">
        <v>2358</v>
      </c>
      <c r="J415">
        <v>6</v>
      </c>
      <c r="K415" t="s">
        <v>54</v>
      </c>
      <c r="L415">
        <v>2014</v>
      </c>
      <c r="M415" t="s">
        <v>1116</v>
      </c>
      <c r="N415">
        <v>3303</v>
      </c>
      <c r="O415" t="s">
        <v>22</v>
      </c>
    </row>
    <row r="416" spans="1:15" x14ac:dyDescent="0.3">
      <c r="A416">
        <v>415</v>
      </c>
      <c r="B416" t="s">
        <v>1117</v>
      </c>
      <c r="C416" t="s">
        <v>341</v>
      </c>
      <c r="D416" t="s">
        <v>25</v>
      </c>
      <c r="E416" t="s">
        <v>412</v>
      </c>
      <c r="F416" t="s">
        <v>247</v>
      </c>
      <c r="G416">
        <v>11.09</v>
      </c>
      <c r="H416">
        <v>4.8</v>
      </c>
      <c r="I416">
        <v>1250</v>
      </c>
      <c r="J416">
        <v>6</v>
      </c>
      <c r="K416" t="s">
        <v>200</v>
      </c>
      <c r="L416">
        <v>2016</v>
      </c>
      <c r="M416" t="s">
        <v>1118</v>
      </c>
      <c r="N416">
        <v>7833</v>
      </c>
      <c r="O416" t="s">
        <v>22</v>
      </c>
    </row>
    <row r="417" spans="1:15" x14ac:dyDescent="0.3">
      <c r="A417">
        <v>416</v>
      </c>
      <c r="B417" t="s">
        <v>1119</v>
      </c>
      <c r="C417" t="s">
        <v>495</v>
      </c>
      <c r="D417" t="s">
        <v>17</v>
      </c>
      <c r="E417" t="s">
        <v>591</v>
      </c>
      <c r="F417" t="s">
        <v>247</v>
      </c>
      <c r="G417">
        <v>6.99</v>
      </c>
      <c r="H417">
        <v>3.9</v>
      </c>
      <c r="I417">
        <v>2064</v>
      </c>
      <c r="J417">
        <v>7</v>
      </c>
      <c r="K417" t="s">
        <v>271</v>
      </c>
      <c r="L417">
        <v>2021</v>
      </c>
      <c r="M417" t="s">
        <v>1120</v>
      </c>
      <c r="N417">
        <v>4602</v>
      </c>
      <c r="O417" t="s">
        <v>22</v>
      </c>
    </row>
    <row r="418" spans="1:15" x14ac:dyDescent="0.3">
      <c r="A418">
        <v>417</v>
      </c>
      <c r="B418" t="s">
        <v>1121</v>
      </c>
      <c r="C418" t="s">
        <v>1020</v>
      </c>
      <c r="D418" t="s">
        <v>17</v>
      </c>
      <c r="E418" t="s">
        <v>539</v>
      </c>
      <c r="F418" t="s">
        <v>243</v>
      </c>
      <c r="G418">
        <v>16.18</v>
      </c>
      <c r="H418">
        <v>4.0999999999999996</v>
      </c>
      <c r="I418">
        <v>1191</v>
      </c>
      <c r="J418">
        <v>5</v>
      </c>
      <c r="K418" t="s">
        <v>360</v>
      </c>
      <c r="L418">
        <v>2022</v>
      </c>
      <c r="M418" t="s">
        <v>1122</v>
      </c>
      <c r="N418">
        <v>1749</v>
      </c>
      <c r="O418" t="s">
        <v>22</v>
      </c>
    </row>
    <row r="419" spans="1:15" x14ac:dyDescent="0.3">
      <c r="A419">
        <v>418</v>
      </c>
      <c r="B419" t="s">
        <v>1123</v>
      </c>
      <c r="C419" t="s">
        <v>1043</v>
      </c>
      <c r="D419" t="s">
        <v>25</v>
      </c>
      <c r="E419" t="s">
        <v>268</v>
      </c>
      <c r="F419" t="s">
        <v>19</v>
      </c>
      <c r="G419">
        <v>11.2</v>
      </c>
      <c r="H419">
        <v>4.8</v>
      </c>
      <c r="I419">
        <v>152</v>
      </c>
      <c r="J419">
        <v>10</v>
      </c>
      <c r="K419" t="s">
        <v>205</v>
      </c>
      <c r="L419">
        <v>2025</v>
      </c>
      <c r="M419" t="s">
        <v>1124</v>
      </c>
      <c r="N419">
        <v>5743</v>
      </c>
      <c r="O419" t="s">
        <v>22</v>
      </c>
    </row>
    <row r="420" spans="1:15" x14ac:dyDescent="0.3">
      <c r="A420">
        <v>419</v>
      </c>
      <c r="B420" t="s">
        <v>1125</v>
      </c>
      <c r="C420" t="s">
        <v>289</v>
      </c>
      <c r="D420" t="s">
        <v>17</v>
      </c>
      <c r="E420" t="s">
        <v>159</v>
      </c>
      <c r="F420" t="s">
        <v>37</v>
      </c>
      <c r="G420">
        <v>28.38</v>
      </c>
      <c r="H420">
        <v>4</v>
      </c>
      <c r="I420">
        <v>4736</v>
      </c>
      <c r="J420">
        <v>9</v>
      </c>
      <c r="K420" t="s">
        <v>144</v>
      </c>
      <c r="L420">
        <v>2020</v>
      </c>
      <c r="M420" t="s">
        <v>1126</v>
      </c>
      <c r="N420">
        <v>7023</v>
      </c>
      <c r="O420" t="s">
        <v>22</v>
      </c>
    </row>
    <row r="421" spans="1:15" x14ac:dyDescent="0.3">
      <c r="A421">
        <v>420</v>
      </c>
      <c r="B421" t="s">
        <v>1127</v>
      </c>
      <c r="C421" t="s">
        <v>645</v>
      </c>
      <c r="D421" t="s">
        <v>17</v>
      </c>
      <c r="E421" t="s">
        <v>159</v>
      </c>
      <c r="F421" t="s">
        <v>19</v>
      </c>
      <c r="G421">
        <v>16.22</v>
      </c>
      <c r="H421">
        <v>4.2</v>
      </c>
      <c r="I421">
        <v>3525</v>
      </c>
      <c r="J421">
        <v>4</v>
      </c>
      <c r="K421" t="s">
        <v>92</v>
      </c>
      <c r="L421">
        <v>2019</v>
      </c>
      <c r="M421" t="s">
        <v>1128</v>
      </c>
      <c r="N421">
        <v>1299</v>
      </c>
      <c r="O421" t="s">
        <v>22</v>
      </c>
    </row>
    <row r="422" spans="1:15" x14ac:dyDescent="0.3">
      <c r="A422">
        <v>421</v>
      </c>
      <c r="B422" t="s">
        <v>1129</v>
      </c>
      <c r="C422" t="s">
        <v>212</v>
      </c>
      <c r="D422" t="s">
        <v>25</v>
      </c>
      <c r="E422" t="s">
        <v>73</v>
      </c>
      <c r="F422" t="s">
        <v>260</v>
      </c>
      <c r="G422">
        <v>11.94</v>
      </c>
      <c r="H422">
        <v>4</v>
      </c>
      <c r="I422">
        <v>424</v>
      </c>
      <c r="J422">
        <v>1</v>
      </c>
      <c r="K422" t="s">
        <v>27</v>
      </c>
      <c r="L422">
        <v>2020</v>
      </c>
      <c r="M422" t="s">
        <v>1130</v>
      </c>
      <c r="N422">
        <v>7365</v>
      </c>
      <c r="O422" t="s">
        <v>22</v>
      </c>
    </row>
    <row r="423" spans="1:15" x14ac:dyDescent="0.3">
      <c r="A423">
        <v>422</v>
      </c>
      <c r="B423" t="s">
        <v>1131</v>
      </c>
      <c r="C423" t="s">
        <v>645</v>
      </c>
      <c r="D423" t="s">
        <v>17</v>
      </c>
      <c r="E423" t="s">
        <v>81</v>
      </c>
      <c r="F423" t="s">
        <v>37</v>
      </c>
      <c r="G423">
        <v>28.28</v>
      </c>
      <c r="H423">
        <v>4.2</v>
      </c>
      <c r="I423">
        <v>356</v>
      </c>
      <c r="J423">
        <v>5</v>
      </c>
      <c r="K423" t="s">
        <v>326</v>
      </c>
      <c r="L423">
        <v>2017</v>
      </c>
      <c r="M423" t="s">
        <v>1132</v>
      </c>
      <c r="N423">
        <v>4638</v>
      </c>
      <c r="O423" t="s">
        <v>22</v>
      </c>
    </row>
    <row r="424" spans="1:15" x14ac:dyDescent="0.3">
      <c r="A424">
        <v>423</v>
      </c>
      <c r="B424" t="s">
        <v>1133</v>
      </c>
      <c r="C424" t="s">
        <v>450</v>
      </c>
      <c r="D424" t="s">
        <v>17</v>
      </c>
      <c r="E424" t="s">
        <v>334</v>
      </c>
      <c r="F424" t="s">
        <v>19</v>
      </c>
      <c r="G424">
        <v>15.4</v>
      </c>
      <c r="H424">
        <v>4.3</v>
      </c>
      <c r="I424">
        <v>664</v>
      </c>
      <c r="J424">
        <v>3</v>
      </c>
      <c r="K424" t="s">
        <v>271</v>
      </c>
      <c r="L424">
        <v>2023</v>
      </c>
      <c r="M424" t="s">
        <v>1134</v>
      </c>
      <c r="N424">
        <v>2274</v>
      </c>
      <c r="O424" t="s">
        <v>22</v>
      </c>
    </row>
    <row r="425" spans="1:15" x14ac:dyDescent="0.3">
      <c r="A425">
        <v>424</v>
      </c>
      <c r="B425" t="s">
        <v>1135</v>
      </c>
      <c r="C425" t="s">
        <v>671</v>
      </c>
      <c r="D425" t="s">
        <v>17</v>
      </c>
      <c r="E425" t="s">
        <v>232</v>
      </c>
      <c r="F425" t="s">
        <v>260</v>
      </c>
      <c r="G425">
        <v>14.84</v>
      </c>
      <c r="H425">
        <v>4.2</v>
      </c>
      <c r="I425">
        <v>3671</v>
      </c>
      <c r="J425">
        <v>11</v>
      </c>
      <c r="K425" t="s">
        <v>48</v>
      </c>
      <c r="L425">
        <v>2026</v>
      </c>
      <c r="M425" t="s">
        <v>1136</v>
      </c>
      <c r="N425">
        <v>5544</v>
      </c>
      <c r="O425" t="s">
        <v>22</v>
      </c>
    </row>
    <row r="426" spans="1:15" x14ac:dyDescent="0.3">
      <c r="A426">
        <v>425</v>
      </c>
      <c r="B426" t="s">
        <v>1137</v>
      </c>
      <c r="C426" t="s">
        <v>434</v>
      </c>
      <c r="D426" t="s">
        <v>25</v>
      </c>
      <c r="E426" t="s">
        <v>126</v>
      </c>
      <c r="F426" t="s">
        <v>260</v>
      </c>
      <c r="G426">
        <v>8.39</v>
      </c>
      <c r="H426">
        <v>4.5</v>
      </c>
      <c r="I426">
        <v>4644</v>
      </c>
      <c r="J426">
        <v>1</v>
      </c>
      <c r="K426" t="s">
        <v>92</v>
      </c>
      <c r="L426">
        <v>2017</v>
      </c>
      <c r="M426" t="s">
        <v>1138</v>
      </c>
      <c r="N426">
        <v>7391</v>
      </c>
      <c r="O426" t="s">
        <v>22</v>
      </c>
    </row>
    <row r="427" spans="1:15" x14ac:dyDescent="0.3">
      <c r="A427">
        <v>426</v>
      </c>
      <c r="B427" t="s">
        <v>1139</v>
      </c>
      <c r="C427" t="s">
        <v>997</v>
      </c>
      <c r="D427" t="s">
        <v>25</v>
      </c>
      <c r="E427" t="s">
        <v>36</v>
      </c>
      <c r="F427" t="s">
        <v>247</v>
      </c>
      <c r="G427">
        <v>5.79</v>
      </c>
      <c r="H427">
        <v>4</v>
      </c>
      <c r="I427">
        <v>2742</v>
      </c>
      <c r="J427">
        <v>2</v>
      </c>
      <c r="K427" t="s">
        <v>286</v>
      </c>
      <c r="L427">
        <v>2020</v>
      </c>
      <c r="M427" t="s">
        <v>1140</v>
      </c>
      <c r="N427">
        <v>2725</v>
      </c>
      <c r="O427" t="s">
        <v>22</v>
      </c>
    </row>
    <row r="428" spans="1:15" x14ac:dyDescent="0.3">
      <c r="A428">
        <v>427</v>
      </c>
      <c r="B428" t="s">
        <v>1141</v>
      </c>
      <c r="C428" t="s">
        <v>1142</v>
      </c>
      <c r="D428" t="s">
        <v>17</v>
      </c>
      <c r="E428" t="s">
        <v>539</v>
      </c>
      <c r="F428" t="s">
        <v>19</v>
      </c>
      <c r="G428">
        <v>16.8</v>
      </c>
      <c r="H428">
        <v>4.8</v>
      </c>
      <c r="I428">
        <v>2260</v>
      </c>
      <c r="J428">
        <v>5</v>
      </c>
      <c r="K428" t="s">
        <v>290</v>
      </c>
      <c r="L428">
        <v>2024</v>
      </c>
      <c r="M428" t="s">
        <v>1143</v>
      </c>
      <c r="N428">
        <v>2192</v>
      </c>
      <c r="O428" t="s">
        <v>22</v>
      </c>
    </row>
    <row r="429" spans="1:15" x14ac:dyDescent="0.3">
      <c r="A429">
        <v>428</v>
      </c>
      <c r="B429" t="s">
        <v>1144</v>
      </c>
      <c r="C429" t="s">
        <v>258</v>
      </c>
      <c r="D429" t="s">
        <v>25</v>
      </c>
      <c r="E429" t="s">
        <v>440</v>
      </c>
      <c r="F429" t="s">
        <v>19</v>
      </c>
      <c r="G429">
        <v>12.76</v>
      </c>
      <c r="H429">
        <v>4.3</v>
      </c>
      <c r="I429">
        <v>3945</v>
      </c>
      <c r="J429">
        <v>9</v>
      </c>
      <c r="K429" t="s">
        <v>32</v>
      </c>
      <c r="L429">
        <v>2024</v>
      </c>
      <c r="M429" t="s">
        <v>1145</v>
      </c>
      <c r="N429">
        <v>7231</v>
      </c>
      <c r="O429" t="s">
        <v>22</v>
      </c>
    </row>
    <row r="430" spans="1:15" x14ac:dyDescent="0.3">
      <c r="A430">
        <v>429</v>
      </c>
      <c r="B430" t="s">
        <v>1146</v>
      </c>
      <c r="C430" t="s">
        <v>280</v>
      </c>
      <c r="D430" t="s">
        <v>17</v>
      </c>
      <c r="E430" t="s">
        <v>18</v>
      </c>
      <c r="F430" t="s">
        <v>247</v>
      </c>
      <c r="G430">
        <v>10.06</v>
      </c>
      <c r="H430">
        <v>4.4000000000000004</v>
      </c>
      <c r="I430">
        <v>3740</v>
      </c>
      <c r="J430">
        <v>14</v>
      </c>
      <c r="K430" t="s">
        <v>792</v>
      </c>
      <c r="L430">
        <v>2025</v>
      </c>
      <c r="M430" t="s">
        <v>1147</v>
      </c>
      <c r="N430">
        <v>1455</v>
      </c>
      <c r="O430" t="s">
        <v>22</v>
      </c>
    </row>
    <row r="431" spans="1:15" x14ac:dyDescent="0.3">
      <c r="A431">
        <v>430</v>
      </c>
      <c r="B431" t="s">
        <v>1148</v>
      </c>
      <c r="C431" t="s">
        <v>712</v>
      </c>
      <c r="D431" t="s">
        <v>25</v>
      </c>
      <c r="E431" t="s">
        <v>47</v>
      </c>
      <c r="F431" t="s">
        <v>243</v>
      </c>
      <c r="G431">
        <v>25.03</v>
      </c>
      <c r="H431">
        <v>4.8</v>
      </c>
      <c r="I431">
        <v>1071</v>
      </c>
      <c r="J431">
        <v>12</v>
      </c>
      <c r="K431" t="s">
        <v>82</v>
      </c>
      <c r="L431">
        <v>2022</v>
      </c>
      <c r="M431" t="s">
        <v>1149</v>
      </c>
      <c r="N431">
        <v>7837</v>
      </c>
      <c r="O431" t="s">
        <v>22</v>
      </c>
    </row>
    <row r="432" spans="1:15" x14ac:dyDescent="0.3">
      <c r="A432">
        <v>431</v>
      </c>
      <c r="B432" t="s">
        <v>1150</v>
      </c>
      <c r="C432" t="s">
        <v>341</v>
      </c>
      <c r="D432" t="s">
        <v>25</v>
      </c>
      <c r="E432" t="s">
        <v>228</v>
      </c>
      <c r="F432" t="s">
        <v>37</v>
      </c>
      <c r="G432">
        <v>22.68</v>
      </c>
      <c r="H432">
        <v>4.3</v>
      </c>
      <c r="I432">
        <v>862</v>
      </c>
      <c r="J432">
        <v>2</v>
      </c>
      <c r="K432" t="s">
        <v>92</v>
      </c>
      <c r="L432">
        <v>2025</v>
      </c>
      <c r="M432" t="s">
        <v>1151</v>
      </c>
      <c r="N432">
        <v>7600</v>
      </c>
      <c r="O432" t="s">
        <v>22</v>
      </c>
    </row>
    <row r="433" spans="1:15" x14ac:dyDescent="0.3">
      <c r="A433">
        <v>432</v>
      </c>
      <c r="B433" t="s">
        <v>1152</v>
      </c>
      <c r="C433" t="s">
        <v>645</v>
      </c>
      <c r="D433" t="s">
        <v>17</v>
      </c>
      <c r="E433" t="s">
        <v>184</v>
      </c>
      <c r="F433" t="s">
        <v>19</v>
      </c>
      <c r="G433">
        <v>16.7</v>
      </c>
      <c r="H433">
        <v>4.7</v>
      </c>
      <c r="I433">
        <v>1069</v>
      </c>
      <c r="J433">
        <v>6</v>
      </c>
      <c r="K433" t="s">
        <v>82</v>
      </c>
      <c r="L433">
        <v>2026</v>
      </c>
      <c r="M433" t="s">
        <v>1153</v>
      </c>
      <c r="N433">
        <v>988</v>
      </c>
      <c r="O433" t="s">
        <v>22</v>
      </c>
    </row>
    <row r="434" spans="1:15" x14ac:dyDescent="0.3">
      <c r="A434">
        <v>433</v>
      </c>
      <c r="B434" t="s">
        <v>1154</v>
      </c>
      <c r="C434" t="s">
        <v>880</v>
      </c>
      <c r="D434" t="s">
        <v>25</v>
      </c>
      <c r="E434" t="s">
        <v>47</v>
      </c>
      <c r="F434" t="s">
        <v>247</v>
      </c>
      <c r="G434">
        <v>11.56</v>
      </c>
      <c r="H434">
        <v>4</v>
      </c>
      <c r="I434">
        <v>2650</v>
      </c>
      <c r="J434">
        <v>6</v>
      </c>
      <c r="K434" t="s">
        <v>353</v>
      </c>
      <c r="L434">
        <v>2017</v>
      </c>
      <c r="M434" t="s">
        <v>1155</v>
      </c>
      <c r="N434">
        <v>4022</v>
      </c>
      <c r="O434" t="s">
        <v>22</v>
      </c>
    </row>
    <row r="435" spans="1:15" x14ac:dyDescent="0.3">
      <c r="A435">
        <v>434</v>
      </c>
      <c r="B435" t="s">
        <v>1156</v>
      </c>
      <c r="C435" t="s">
        <v>227</v>
      </c>
      <c r="D435" t="s">
        <v>25</v>
      </c>
      <c r="E435" t="s">
        <v>36</v>
      </c>
      <c r="F435" t="s">
        <v>247</v>
      </c>
      <c r="G435">
        <v>8.5299999999999994</v>
      </c>
      <c r="H435">
        <v>4.4000000000000004</v>
      </c>
      <c r="I435">
        <v>4776</v>
      </c>
      <c r="J435">
        <v>13</v>
      </c>
      <c r="K435" t="s">
        <v>403</v>
      </c>
      <c r="L435">
        <v>2021</v>
      </c>
      <c r="M435" t="s">
        <v>1157</v>
      </c>
      <c r="N435">
        <v>4206</v>
      </c>
      <c r="O435" t="s">
        <v>22</v>
      </c>
    </row>
    <row r="436" spans="1:15" x14ac:dyDescent="0.3">
      <c r="A436">
        <v>435</v>
      </c>
      <c r="B436" t="s">
        <v>1158</v>
      </c>
      <c r="C436" t="s">
        <v>358</v>
      </c>
      <c r="D436" t="s">
        <v>25</v>
      </c>
      <c r="E436" t="s">
        <v>296</v>
      </c>
      <c r="F436" t="s">
        <v>37</v>
      </c>
      <c r="G436">
        <v>19.87</v>
      </c>
      <c r="H436">
        <v>4.5999999999999996</v>
      </c>
      <c r="I436">
        <v>3147</v>
      </c>
      <c r="J436">
        <v>13</v>
      </c>
      <c r="K436" t="s">
        <v>349</v>
      </c>
      <c r="L436">
        <v>2019</v>
      </c>
      <c r="M436" t="s">
        <v>1159</v>
      </c>
      <c r="N436">
        <v>2564</v>
      </c>
      <c r="O436" t="s">
        <v>22</v>
      </c>
    </row>
    <row r="437" spans="1:15" x14ac:dyDescent="0.3">
      <c r="A437">
        <v>436</v>
      </c>
      <c r="B437" t="s">
        <v>1160</v>
      </c>
      <c r="C437" t="s">
        <v>547</v>
      </c>
      <c r="D437" t="s">
        <v>17</v>
      </c>
      <c r="E437" t="s">
        <v>159</v>
      </c>
      <c r="F437" t="s">
        <v>37</v>
      </c>
      <c r="G437">
        <v>17.28</v>
      </c>
      <c r="H437">
        <v>4.8</v>
      </c>
      <c r="I437">
        <v>652</v>
      </c>
      <c r="J437">
        <v>8</v>
      </c>
      <c r="K437" t="s">
        <v>312</v>
      </c>
      <c r="L437">
        <v>2026</v>
      </c>
      <c r="M437" t="s">
        <v>1161</v>
      </c>
      <c r="N437">
        <v>8259</v>
      </c>
      <c r="O437" t="s">
        <v>22</v>
      </c>
    </row>
    <row r="438" spans="1:15" x14ac:dyDescent="0.3">
      <c r="A438">
        <v>437</v>
      </c>
      <c r="B438" t="s">
        <v>1162</v>
      </c>
      <c r="C438" t="s">
        <v>429</v>
      </c>
      <c r="D438" t="s">
        <v>17</v>
      </c>
      <c r="E438" t="s">
        <v>188</v>
      </c>
      <c r="F438" t="s">
        <v>243</v>
      </c>
      <c r="G438">
        <v>18.850000000000001</v>
      </c>
      <c r="H438">
        <v>4.5</v>
      </c>
      <c r="I438">
        <v>4242</v>
      </c>
      <c r="J438">
        <v>13</v>
      </c>
      <c r="K438" t="s">
        <v>77</v>
      </c>
      <c r="L438">
        <v>2016</v>
      </c>
      <c r="M438" t="s">
        <v>1163</v>
      </c>
      <c r="N438">
        <v>3144</v>
      </c>
      <c r="O438" t="s">
        <v>22</v>
      </c>
    </row>
    <row r="439" spans="1:15" x14ac:dyDescent="0.3">
      <c r="A439">
        <v>438</v>
      </c>
      <c r="B439" t="s">
        <v>1164</v>
      </c>
      <c r="C439" t="s">
        <v>597</v>
      </c>
      <c r="D439" t="s">
        <v>17</v>
      </c>
      <c r="E439" t="s">
        <v>568</v>
      </c>
      <c r="F439" t="s">
        <v>243</v>
      </c>
      <c r="G439">
        <v>33.44</v>
      </c>
      <c r="H439">
        <v>4.4000000000000004</v>
      </c>
      <c r="I439">
        <v>2098</v>
      </c>
      <c r="J439">
        <v>3</v>
      </c>
      <c r="K439" t="s">
        <v>335</v>
      </c>
      <c r="L439">
        <v>2018</v>
      </c>
      <c r="M439" t="s">
        <v>1165</v>
      </c>
      <c r="N439">
        <v>5981</v>
      </c>
      <c r="O439" t="s">
        <v>22</v>
      </c>
    </row>
    <row r="440" spans="1:15" x14ac:dyDescent="0.3">
      <c r="A440">
        <v>439</v>
      </c>
      <c r="B440" t="s">
        <v>1166</v>
      </c>
      <c r="C440" t="s">
        <v>183</v>
      </c>
      <c r="D440" t="s">
        <v>17</v>
      </c>
      <c r="E440" t="s">
        <v>58</v>
      </c>
      <c r="F440" t="s">
        <v>37</v>
      </c>
      <c r="G440">
        <v>28.55</v>
      </c>
      <c r="H440">
        <v>4.5999999999999996</v>
      </c>
      <c r="I440">
        <v>3407</v>
      </c>
      <c r="J440">
        <v>5</v>
      </c>
      <c r="K440" t="s">
        <v>173</v>
      </c>
      <c r="L440">
        <v>2023</v>
      </c>
      <c r="M440" t="s">
        <v>1167</v>
      </c>
      <c r="N440">
        <v>2756</v>
      </c>
      <c r="O440" t="s">
        <v>22</v>
      </c>
    </row>
    <row r="441" spans="1:15" x14ac:dyDescent="0.3">
      <c r="A441">
        <v>440</v>
      </c>
      <c r="B441" t="s">
        <v>1168</v>
      </c>
      <c r="C441" t="s">
        <v>67</v>
      </c>
      <c r="D441" t="s">
        <v>25</v>
      </c>
      <c r="E441" t="s">
        <v>26</v>
      </c>
      <c r="F441" t="s">
        <v>37</v>
      </c>
      <c r="G441">
        <v>26.31</v>
      </c>
      <c r="H441">
        <v>4.4000000000000004</v>
      </c>
      <c r="I441">
        <v>1801</v>
      </c>
      <c r="J441">
        <v>8</v>
      </c>
      <c r="K441" t="s">
        <v>135</v>
      </c>
      <c r="L441">
        <v>2023</v>
      </c>
      <c r="M441" t="s">
        <v>1169</v>
      </c>
      <c r="N441">
        <v>5526</v>
      </c>
      <c r="O441" t="s">
        <v>22</v>
      </c>
    </row>
    <row r="442" spans="1:15" x14ac:dyDescent="0.3">
      <c r="A442">
        <v>441</v>
      </c>
      <c r="B442" t="s">
        <v>1170</v>
      </c>
      <c r="C442" t="s">
        <v>437</v>
      </c>
      <c r="D442" t="s">
        <v>25</v>
      </c>
      <c r="E442" t="s">
        <v>31</v>
      </c>
      <c r="F442" t="s">
        <v>37</v>
      </c>
      <c r="G442">
        <v>29.86</v>
      </c>
      <c r="H442">
        <v>4.3</v>
      </c>
      <c r="I442">
        <v>1451</v>
      </c>
      <c r="J442">
        <v>10</v>
      </c>
      <c r="K442" t="s">
        <v>127</v>
      </c>
      <c r="L442">
        <v>2020</v>
      </c>
      <c r="M442" t="s">
        <v>1171</v>
      </c>
      <c r="N442">
        <v>1174</v>
      </c>
      <c r="O442" t="s">
        <v>22</v>
      </c>
    </row>
    <row r="443" spans="1:15" x14ac:dyDescent="0.3">
      <c r="A443">
        <v>442</v>
      </c>
      <c r="B443" t="s">
        <v>1172</v>
      </c>
      <c r="C443" t="s">
        <v>522</v>
      </c>
      <c r="D443" t="s">
        <v>25</v>
      </c>
      <c r="E443" t="s">
        <v>285</v>
      </c>
      <c r="F443" t="s">
        <v>19</v>
      </c>
      <c r="G443">
        <v>16.21</v>
      </c>
      <c r="H443">
        <v>4.5</v>
      </c>
      <c r="I443">
        <v>2515</v>
      </c>
      <c r="J443">
        <v>5</v>
      </c>
      <c r="K443" t="s">
        <v>106</v>
      </c>
      <c r="L443">
        <v>2020</v>
      </c>
      <c r="M443" t="s">
        <v>1173</v>
      </c>
      <c r="N443">
        <v>8974</v>
      </c>
      <c r="O443" t="s">
        <v>22</v>
      </c>
    </row>
    <row r="444" spans="1:15" x14ac:dyDescent="0.3">
      <c r="A444">
        <v>443</v>
      </c>
      <c r="B444" t="s">
        <v>1174</v>
      </c>
      <c r="C444" t="s">
        <v>910</v>
      </c>
      <c r="D444" t="s">
        <v>25</v>
      </c>
      <c r="E444" t="s">
        <v>36</v>
      </c>
      <c r="F444" t="s">
        <v>243</v>
      </c>
      <c r="G444">
        <v>29.48</v>
      </c>
      <c r="H444">
        <v>4.4000000000000004</v>
      </c>
      <c r="I444">
        <v>3071</v>
      </c>
      <c r="J444">
        <v>14</v>
      </c>
      <c r="K444" t="s">
        <v>38</v>
      </c>
      <c r="L444">
        <v>2026</v>
      </c>
      <c r="M444" t="s">
        <v>1175</v>
      </c>
      <c r="N444">
        <v>2701</v>
      </c>
      <c r="O444" t="s">
        <v>22</v>
      </c>
    </row>
    <row r="445" spans="1:15" x14ac:dyDescent="0.3">
      <c r="A445">
        <v>444</v>
      </c>
      <c r="B445" t="s">
        <v>1176</v>
      </c>
      <c r="C445" t="s">
        <v>267</v>
      </c>
      <c r="D445" t="s">
        <v>25</v>
      </c>
      <c r="E445" t="s">
        <v>268</v>
      </c>
      <c r="F445" t="s">
        <v>37</v>
      </c>
      <c r="G445">
        <v>28.04</v>
      </c>
      <c r="H445">
        <v>4.5</v>
      </c>
      <c r="I445">
        <v>3435</v>
      </c>
      <c r="J445">
        <v>11</v>
      </c>
      <c r="K445" t="s">
        <v>48</v>
      </c>
      <c r="L445">
        <v>2022</v>
      </c>
      <c r="M445" t="s">
        <v>1177</v>
      </c>
      <c r="N445">
        <v>8718</v>
      </c>
      <c r="O445" t="s">
        <v>22</v>
      </c>
    </row>
    <row r="446" spans="1:15" x14ac:dyDescent="0.3">
      <c r="A446">
        <v>445</v>
      </c>
      <c r="B446" t="s">
        <v>1178</v>
      </c>
      <c r="C446" t="s">
        <v>208</v>
      </c>
      <c r="D446" t="s">
        <v>25</v>
      </c>
      <c r="E446" t="s">
        <v>285</v>
      </c>
      <c r="F446" t="s">
        <v>260</v>
      </c>
      <c r="G446">
        <v>8.41</v>
      </c>
      <c r="H446">
        <v>4.5999999999999996</v>
      </c>
      <c r="I446">
        <v>3204</v>
      </c>
      <c r="J446">
        <v>4</v>
      </c>
      <c r="K446" t="s">
        <v>54</v>
      </c>
      <c r="L446">
        <v>2022</v>
      </c>
      <c r="M446" t="s">
        <v>1179</v>
      </c>
      <c r="N446">
        <v>9310</v>
      </c>
      <c r="O446" t="s">
        <v>22</v>
      </c>
    </row>
    <row r="447" spans="1:15" x14ac:dyDescent="0.3">
      <c r="A447">
        <v>446</v>
      </c>
      <c r="B447" t="s">
        <v>1180</v>
      </c>
      <c r="C447" t="s">
        <v>1052</v>
      </c>
      <c r="D447" t="s">
        <v>17</v>
      </c>
      <c r="E447" t="s">
        <v>159</v>
      </c>
      <c r="F447" t="s">
        <v>19</v>
      </c>
      <c r="G447">
        <v>12.8</v>
      </c>
      <c r="H447">
        <v>4.4000000000000004</v>
      </c>
      <c r="I447">
        <v>2566</v>
      </c>
      <c r="J447">
        <v>14</v>
      </c>
      <c r="K447" t="s">
        <v>92</v>
      </c>
      <c r="L447">
        <v>2023</v>
      </c>
      <c r="M447" t="s">
        <v>1181</v>
      </c>
      <c r="N447">
        <v>2697</v>
      </c>
      <c r="O447" t="s">
        <v>22</v>
      </c>
    </row>
    <row r="448" spans="1:15" x14ac:dyDescent="0.3">
      <c r="A448">
        <v>447</v>
      </c>
      <c r="B448" t="s">
        <v>1182</v>
      </c>
      <c r="C448" t="s">
        <v>450</v>
      </c>
      <c r="D448" t="s">
        <v>17</v>
      </c>
      <c r="E448" t="s">
        <v>511</v>
      </c>
      <c r="F448" t="s">
        <v>19</v>
      </c>
      <c r="G448">
        <v>12.56</v>
      </c>
      <c r="H448">
        <v>4.2</v>
      </c>
      <c r="I448">
        <v>3665</v>
      </c>
      <c r="J448">
        <v>5</v>
      </c>
      <c r="K448" t="s">
        <v>349</v>
      </c>
      <c r="L448">
        <v>2020</v>
      </c>
      <c r="M448" t="s">
        <v>1183</v>
      </c>
      <c r="N448">
        <v>3997</v>
      </c>
      <c r="O448" t="s">
        <v>22</v>
      </c>
    </row>
    <row r="449" spans="1:15" x14ac:dyDescent="0.3">
      <c r="A449">
        <v>448</v>
      </c>
      <c r="B449" t="s">
        <v>1184</v>
      </c>
      <c r="C449" t="s">
        <v>100</v>
      </c>
      <c r="D449" t="s">
        <v>25</v>
      </c>
      <c r="E449" t="s">
        <v>31</v>
      </c>
      <c r="F449" t="s">
        <v>37</v>
      </c>
      <c r="G449">
        <v>20.09</v>
      </c>
      <c r="H449">
        <v>4.5</v>
      </c>
      <c r="I449">
        <v>4409</v>
      </c>
      <c r="J449">
        <v>2</v>
      </c>
      <c r="K449" t="s">
        <v>281</v>
      </c>
      <c r="L449">
        <v>2019</v>
      </c>
      <c r="M449" t="s">
        <v>1185</v>
      </c>
      <c r="N449">
        <v>4498</v>
      </c>
      <c r="O449" t="s">
        <v>22</v>
      </c>
    </row>
    <row r="450" spans="1:15" x14ac:dyDescent="0.3">
      <c r="A450">
        <v>449</v>
      </c>
      <c r="B450" t="s">
        <v>1186</v>
      </c>
      <c r="C450" t="s">
        <v>594</v>
      </c>
      <c r="D450" t="s">
        <v>17</v>
      </c>
      <c r="E450" t="s">
        <v>334</v>
      </c>
      <c r="F450" t="s">
        <v>247</v>
      </c>
      <c r="G450">
        <v>11.66</v>
      </c>
      <c r="H450">
        <v>4.3</v>
      </c>
      <c r="I450">
        <v>618</v>
      </c>
      <c r="J450">
        <v>3</v>
      </c>
      <c r="K450" t="s">
        <v>82</v>
      </c>
      <c r="L450">
        <v>2017</v>
      </c>
      <c r="M450" t="s">
        <v>1187</v>
      </c>
      <c r="N450">
        <v>7909</v>
      </c>
      <c r="O450" t="s">
        <v>22</v>
      </c>
    </row>
    <row r="451" spans="1:15" x14ac:dyDescent="0.3">
      <c r="A451">
        <v>450</v>
      </c>
      <c r="B451" t="s">
        <v>1188</v>
      </c>
      <c r="C451" t="s">
        <v>985</v>
      </c>
      <c r="D451" t="s">
        <v>25</v>
      </c>
      <c r="E451" t="s">
        <v>277</v>
      </c>
      <c r="F451" t="s">
        <v>37</v>
      </c>
      <c r="G451">
        <v>26.8</v>
      </c>
      <c r="H451">
        <v>4.3</v>
      </c>
      <c r="I451">
        <v>819</v>
      </c>
      <c r="J451">
        <v>2</v>
      </c>
      <c r="K451" t="s">
        <v>322</v>
      </c>
      <c r="L451">
        <v>2019</v>
      </c>
      <c r="M451" t="s">
        <v>1189</v>
      </c>
      <c r="N451">
        <v>5116</v>
      </c>
      <c r="O451" t="s">
        <v>22</v>
      </c>
    </row>
    <row r="452" spans="1:15" x14ac:dyDescent="0.3">
      <c r="A452">
        <v>451</v>
      </c>
      <c r="B452" t="s">
        <v>1190</v>
      </c>
      <c r="C452" t="s">
        <v>90</v>
      </c>
      <c r="D452" t="s">
        <v>25</v>
      </c>
      <c r="E452" t="s">
        <v>268</v>
      </c>
      <c r="F452" t="s">
        <v>37</v>
      </c>
      <c r="G452">
        <v>20.170000000000002</v>
      </c>
      <c r="H452">
        <v>4.4000000000000004</v>
      </c>
      <c r="I452">
        <v>2994</v>
      </c>
      <c r="J452">
        <v>4</v>
      </c>
      <c r="K452" t="s">
        <v>160</v>
      </c>
      <c r="L452">
        <v>2025</v>
      </c>
      <c r="M452" t="s">
        <v>1191</v>
      </c>
      <c r="N452">
        <v>8262</v>
      </c>
      <c r="O452" t="s">
        <v>22</v>
      </c>
    </row>
    <row r="453" spans="1:15" x14ac:dyDescent="0.3">
      <c r="A453">
        <v>452</v>
      </c>
      <c r="B453" t="s">
        <v>1192</v>
      </c>
      <c r="C453" t="s">
        <v>731</v>
      </c>
      <c r="D453" t="s">
        <v>17</v>
      </c>
      <c r="E453" t="s">
        <v>195</v>
      </c>
      <c r="F453" t="s">
        <v>19</v>
      </c>
      <c r="G453">
        <v>16.149999999999999</v>
      </c>
      <c r="H453">
        <v>3.7</v>
      </c>
      <c r="I453">
        <v>4692</v>
      </c>
      <c r="J453">
        <v>13</v>
      </c>
      <c r="K453" t="s">
        <v>20</v>
      </c>
      <c r="L453">
        <v>2025</v>
      </c>
      <c r="M453" t="s">
        <v>1193</v>
      </c>
      <c r="N453">
        <v>8544</v>
      </c>
      <c r="O453" t="s">
        <v>22</v>
      </c>
    </row>
    <row r="454" spans="1:15" x14ac:dyDescent="0.3">
      <c r="A454">
        <v>453</v>
      </c>
      <c r="B454" t="s">
        <v>1194</v>
      </c>
      <c r="C454" t="s">
        <v>246</v>
      </c>
      <c r="D454" t="s">
        <v>25</v>
      </c>
      <c r="E454" t="s">
        <v>105</v>
      </c>
      <c r="F454" t="s">
        <v>247</v>
      </c>
      <c r="G454">
        <v>5.0999999999999996</v>
      </c>
      <c r="H454">
        <v>4.4000000000000004</v>
      </c>
      <c r="I454">
        <v>2935</v>
      </c>
      <c r="J454">
        <v>11</v>
      </c>
      <c r="K454" t="s">
        <v>349</v>
      </c>
      <c r="L454">
        <v>2025</v>
      </c>
      <c r="M454" t="s">
        <v>1195</v>
      </c>
      <c r="N454">
        <v>9130</v>
      </c>
      <c r="O454" t="s">
        <v>22</v>
      </c>
    </row>
    <row r="455" spans="1:15" x14ac:dyDescent="0.3">
      <c r="A455">
        <v>454</v>
      </c>
      <c r="B455" t="s">
        <v>1196</v>
      </c>
      <c r="C455" t="s">
        <v>707</v>
      </c>
      <c r="D455" t="s">
        <v>17</v>
      </c>
      <c r="E455" t="s">
        <v>511</v>
      </c>
      <c r="F455" t="s">
        <v>247</v>
      </c>
      <c r="G455">
        <v>9.7200000000000006</v>
      </c>
      <c r="H455">
        <v>4.4000000000000004</v>
      </c>
      <c r="I455">
        <v>3511</v>
      </c>
      <c r="J455">
        <v>7</v>
      </c>
      <c r="K455" t="s">
        <v>92</v>
      </c>
      <c r="L455">
        <v>2026</v>
      </c>
      <c r="M455" t="s">
        <v>1197</v>
      </c>
      <c r="N455">
        <v>3747</v>
      </c>
      <c r="O455" t="s">
        <v>22</v>
      </c>
    </row>
    <row r="456" spans="1:15" x14ac:dyDescent="0.3">
      <c r="A456">
        <v>455</v>
      </c>
      <c r="B456" t="s">
        <v>1198</v>
      </c>
      <c r="C456" t="s">
        <v>35</v>
      </c>
      <c r="D456" t="s">
        <v>25</v>
      </c>
      <c r="E456" t="s">
        <v>259</v>
      </c>
      <c r="F456" t="s">
        <v>243</v>
      </c>
      <c r="G456">
        <v>24.21</v>
      </c>
      <c r="H456">
        <v>4.5999999999999996</v>
      </c>
      <c r="I456">
        <v>3629</v>
      </c>
      <c r="J456">
        <v>2</v>
      </c>
      <c r="K456" t="s">
        <v>200</v>
      </c>
      <c r="L456">
        <v>2016</v>
      </c>
      <c r="M456" t="s">
        <v>1199</v>
      </c>
      <c r="N456">
        <v>8583</v>
      </c>
      <c r="O456" t="s">
        <v>22</v>
      </c>
    </row>
    <row r="457" spans="1:15" x14ac:dyDescent="0.3">
      <c r="A457">
        <v>456</v>
      </c>
      <c r="B457" t="s">
        <v>1200</v>
      </c>
      <c r="C457" t="s">
        <v>597</v>
      </c>
      <c r="D457" t="s">
        <v>17</v>
      </c>
      <c r="E457" t="s">
        <v>81</v>
      </c>
      <c r="F457" t="s">
        <v>19</v>
      </c>
      <c r="G457">
        <v>14.58</v>
      </c>
      <c r="H457">
        <v>4.8</v>
      </c>
      <c r="I457">
        <v>4683</v>
      </c>
      <c r="J457">
        <v>15</v>
      </c>
      <c r="K457" t="s">
        <v>403</v>
      </c>
      <c r="L457">
        <v>2019</v>
      </c>
      <c r="M457" t="s">
        <v>1201</v>
      </c>
      <c r="N457">
        <v>8494</v>
      </c>
      <c r="O457" t="s">
        <v>22</v>
      </c>
    </row>
    <row r="458" spans="1:15" x14ac:dyDescent="0.3">
      <c r="A458">
        <v>457</v>
      </c>
      <c r="B458" t="s">
        <v>1202</v>
      </c>
      <c r="C458" t="s">
        <v>1203</v>
      </c>
      <c r="D458" t="s">
        <v>25</v>
      </c>
      <c r="E458" t="s">
        <v>31</v>
      </c>
      <c r="F458" t="s">
        <v>19</v>
      </c>
      <c r="G458">
        <v>10.29</v>
      </c>
      <c r="H458">
        <v>4.4000000000000004</v>
      </c>
      <c r="I458">
        <v>1881</v>
      </c>
      <c r="J458">
        <v>15</v>
      </c>
      <c r="K458" t="s">
        <v>209</v>
      </c>
      <c r="L458">
        <v>2024</v>
      </c>
      <c r="M458" t="s">
        <v>1204</v>
      </c>
      <c r="N458">
        <v>8859</v>
      </c>
      <c r="O458" t="s">
        <v>22</v>
      </c>
    </row>
    <row r="459" spans="1:15" x14ac:dyDescent="0.3">
      <c r="A459">
        <v>458</v>
      </c>
      <c r="B459" t="s">
        <v>1205</v>
      </c>
      <c r="C459" t="s">
        <v>315</v>
      </c>
      <c r="D459" t="s">
        <v>25</v>
      </c>
      <c r="E459" t="s">
        <v>47</v>
      </c>
      <c r="F459" t="s">
        <v>37</v>
      </c>
      <c r="G459">
        <v>17.71</v>
      </c>
      <c r="H459">
        <v>4.0999999999999996</v>
      </c>
      <c r="I459">
        <v>1047</v>
      </c>
      <c r="J459">
        <v>5</v>
      </c>
      <c r="K459" t="s">
        <v>130</v>
      </c>
      <c r="L459">
        <v>2021</v>
      </c>
      <c r="M459" t="s">
        <v>1206</v>
      </c>
      <c r="N459">
        <v>8110</v>
      </c>
      <c r="O459" t="s">
        <v>22</v>
      </c>
    </row>
    <row r="460" spans="1:15" x14ac:dyDescent="0.3">
      <c r="A460">
        <v>459</v>
      </c>
      <c r="B460" t="s">
        <v>1207</v>
      </c>
      <c r="C460" t="s">
        <v>594</v>
      </c>
      <c r="D460" t="s">
        <v>17</v>
      </c>
      <c r="E460" t="s">
        <v>539</v>
      </c>
      <c r="F460" t="s">
        <v>19</v>
      </c>
      <c r="G460">
        <v>15</v>
      </c>
      <c r="H460">
        <v>4.7</v>
      </c>
      <c r="I460">
        <v>2304</v>
      </c>
      <c r="J460">
        <v>7</v>
      </c>
      <c r="K460" t="s">
        <v>92</v>
      </c>
      <c r="L460">
        <v>2021</v>
      </c>
      <c r="M460" t="s">
        <v>1208</v>
      </c>
      <c r="N460">
        <v>3345</v>
      </c>
      <c r="O460" t="s">
        <v>22</v>
      </c>
    </row>
    <row r="461" spans="1:15" x14ac:dyDescent="0.3">
      <c r="A461">
        <v>460</v>
      </c>
      <c r="B461" t="s">
        <v>1209</v>
      </c>
      <c r="C461" t="s">
        <v>125</v>
      </c>
      <c r="D461" t="s">
        <v>25</v>
      </c>
      <c r="E461" t="s">
        <v>73</v>
      </c>
      <c r="F461" t="s">
        <v>260</v>
      </c>
      <c r="G461">
        <v>10.49</v>
      </c>
      <c r="H461">
        <v>4.3</v>
      </c>
      <c r="I461">
        <v>4172</v>
      </c>
      <c r="J461">
        <v>4</v>
      </c>
      <c r="K461" t="s">
        <v>335</v>
      </c>
      <c r="L461">
        <v>2020</v>
      </c>
      <c r="M461" t="s">
        <v>1210</v>
      </c>
      <c r="N461">
        <v>3778</v>
      </c>
      <c r="O461" t="s">
        <v>22</v>
      </c>
    </row>
    <row r="462" spans="1:15" x14ac:dyDescent="0.3">
      <c r="A462">
        <v>461</v>
      </c>
      <c r="B462" t="s">
        <v>1211</v>
      </c>
      <c r="C462" t="s">
        <v>216</v>
      </c>
      <c r="D462" t="s">
        <v>17</v>
      </c>
      <c r="E462" t="s">
        <v>299</v>
      </c>
      <c r="F462" t="s">
        <v>37</v>
      </c>
      <c r="G462">
        <v>29.05</v>
      </c>
      <c r="H462">
        <v>4.4000000000000004</v>
      </c>
      <c r="I462">
        <v>1110</v>
      </c>
      <c r="J462">
        <v>12</v>
      </c>
      <c r="K462" t="s">
        <v>640</v>
      </c>
      <c r="L462">
        <v>2020</v>
      </c>
      <c r="M462" t="s">
        <v>1212</v>
      </c>
      <c r="N462">
        <v>2029</v>
      </c>
      <c r="O462" t="s">
        <v>22</v>
      </c>
    </row>
    <row r="463" spans="1:15" x14ac:dyDescent="0.3">
      <c r="A463">
        <v>462</v>
      </c>
      <c r="B463" t="s">
        <v>1213</v>
      </c>
      <c r="C463" t="s">
        <v>492</v>
      </c>
      <c r="D463" t="s">
        <v>17</v>
      </c>
      <c r="E463" t="s">
        <v>96</v>
      </c>
      <c r="F463" t="s">
        <v>243</v>
      </c>
      <c r="G463">
        <v>16.23</v>
      </c>
      <c r="H463">
        <v>4.0999999999999996</v>
      </c>
      <c r="I463">
        <v>2101</v>
      </c>
      <c r="J463">
        <v>2</v>
      </c>
      <c r="K463" t="s">
        <v>322</v>
      </c>
      <c r="L463">
        <v>2012</v>
      </c>
      <c r="M463" t="s">
        <v>1214</v>
      </c>
      <c r="N463">
        <v>1406</v>
      </c>
      <c r="O463" t="s">
        <v>22</v>
      </c>
    </row>
    <row r="464" spans="1:15" x14ac:dyDescent="0.3">
      <c r="A464">
        <v>463</v>
      </c>
      <c r="B464" t="s">
        <v>1215</v>
      </c>
      <c r="C464" t="s">
        <v>1216</v>
      </c>
      <c r="D464" t="s">
        <v>17</v>
      </c>
      <c r="E464" t="s">
        <v>568</v>
      </c>
      <c r="F464" t="s">
        <v>247</v>
      </c>
      <c r="G464">
        <v>5.72</v>
      </c>
      <c r="H464">
        <v>4.0999999999999996</v>
      </c>
      <c r="I464">
        <v>838</v>
      </c>
      <c r="J464">
        <v>4</v>
      </c>
      <c r="K464" t="s">
        <v>213</v>
      </c>
      <c r="L464">
        <v>2012</v>
      </c>
      <c r="M464" t="s">
        <v>1217</v>
      </c>
      <c r="N464">
        <v>2105</v>
      </c>
      <c r="O464" t="s">
        <v>22</v>
      </c>
    </row>
    <row r="465" spans="1:15" x14ac:dyDescent="0.3">
      <c r="A465">
        <v>464</v>
      </c>
      <c r="B465" t="s">
        <v>1218</v>
      </c>
      <c r="C465" t="s">
        <v>289</v>
      </c>
      <c r="D465" t="s">
        <v>17</v>
      </c>
      <c r="E465" t="s">
        <v>224</v>
      </c>
      <c r="F465" t="s">
        <v>37</v>
      </c>
      <c r="G465">
        <v>28.35</v>
      </c>
      <c r="H465">
        <v>4.2</v>
      </c>
      <c r="I465">
        <v>4712</v>
      </c>
      <c r="J465">
        <v>2</v>
      </c>
      <c r="K465" t="s">
        <v>345</v>
      </c>
      <c r="L465">
        <v>2016</v>
      </c>
      <c r="M465" t="s">
        <v>1219</v>
      </c>
      <c r="N465">
        <v>4705</v>
      </c>
      <c r="O465" t="s">
        <v>22</v>
      </c>
    </row>
    <row r="466" spans="1:15" x14ac:dyDescent="0.3">
      <c r="A466">
        <v>465</v>
      </c>
      <c r="B466" t="s">
        <v>1220</v>
      </c>
      <c r="C466" t="s">
        <v>385</v>
      </c>
      <c r="D466" t="s">
        <v>17</v>
      </c>
      <c r="E466" t="s">
        <v>172</v>
      </c>
      <c r="F466" t="s">
        <v>19</v>
      </c>
      <c r="G466">
        <v>13.65</v>
      </c>
      <c r="H466">
        <v>4.2</v>
      </c>
      <c r="I466">
        <v>514</v>
      </c>
      <c r="J466">
        <v>9</v>
      </c>
      <c r="K466" t="s">
        <v>48</v>
      </c>
      <c r="L466">
        <v>2024</v>
      </c>
      <c r="M466" t="s">
        <v>1221</v>
      </c>
      <c r="N466">
        <v>1458</v>
      </c>
      <c r="O466" t="s">
        <v>22</v>
      </c>
    </row>
    <row r="467" spans="1:15" x14ac:dyDescent="0.3">
      <c r="A467">
        <v>466</v>
      </c>
      <c r="B467" t="s">
        <v>1222</v>
      </c>
      <c r="C467" t="s">
        <v>731</v>
      </c>
      <c r="D467" t="s">
        <v>17</v>
      </c>
      <c r="E467" t="s">
        <v>86</v>
      </c>
      <c r="F467" t="s">
        <v>247</v>
      </c>
      <c r="G467">
        <v>10.88</v>
      </c>
      <c r="H467">
        <v>4.3</v>
      </c>
      <c r="I467">
        <v>339</v>
      </c>
      <c r="J467">
        <v>6</v>
      </c>
      <c r="K467" t="s">
        <v>205</v>
      </c>
      <c r="L467">
        <v>2026</v>
      </c>
      <c r="M467" t="s">
        <v>1223</v>
      </c>
      <c r="N467">
        <v>8776</v>
      </c>
      <c r="O467" t="s">
        <v>22</v>
      </c>
    </row>
    <row r="468" spans="1:15" x14ac:dyDescent="0.3">
      <c r="A468">
        <v>467</v>
      </c>
      <c r="B468" t="s">
        <v>1224</v>
      </c>
      <c r="C468" t="s">
        <v>147</v>
      </c>
      <c r="D468" t="s">
        <v>25</v>
      </c>
      <c r="E468" t="s">
        <v>47</v>
      </c>
      <c r="F468" t="s">
        <v>19</v>
      </c>
      <c r="G468">
        <v>16.03</v>
      </c>
      <c r="H468">
        <v>4.5</v>
      </c>
      <c r="I468">
        <v>3157</v>
      </c>
      <c r="J468">
        <v>11</v>
      </c>
      <c r="K468" t="s">
        <v>59</v>
      </c>
      <c r="L468">
        <v>2024</v>
      </c>
      <c r="M468" t="s">
        <v>1225</v>
      </c>
      <c r="N468">
        <v>7114</v>
      </c>
      <c r="O468" t="s">
        <v>22</v>
      </c>
    </row>
    <row r="469" spans="1:15" x14ac:dyDescent="0.3">
      <c r="A469">
        <v>468</v>
      </c>
      <c r="B469" t="s">
        <v>1226</v>
      </c>
      <c r="C469" t="s">
        <v>358</v>
      </c>
      <c r="D469" t="s">
        <v>25</v>
      </c>
      <c r="E469" t="s">
        <v>31</v>
      </c>
      <c r="F469" t="s">
        <v>19</v>
      </c>
      <c r="G469">
        <v>14.29</v>
      </c>
      <c r="H469">
        <v>4.7</v>
      </c>
      <c r="I469">
        <v>1910</v>
      </c>
      <c r="J469">
        <v>7</v>
      </c>
      <c r="K469" t="s">
        <v>377</v>
      </c>
      <c r="L469">
        <v>2025</v>
      </c>
      <c r="M469" t="s">
        <v>1227</v>
      </c>
      <c r="N469">
        <v>5030</v>
      </c>
      <c r="O469" t="s">
        <v>22</v>
      </c>
    </row>
    <row r="470" spans="1:15" x14ac:dyDescent="0.3">
      <c r="A470">
        <v>469</v>
      </c>
      <c r="B470" t="s">
        <v>1228</v>
      </c>
      <c r="C470" t="s">
        <v>628</v>
      </c>
      <c r="D470" t="s">
        <v>17</v>
      </c>
      <c r="E470" t="s">
        <v>299</v>
      </c>
      <c r="F470" t="s">
        <v>37</v>
      </c>
      <c r="G470">
        <v>18.579999999999998</v>
      </c>
      <c r="H470">
        <v>4.5999999999999996</v>
      </c>
      <c r="I470">
        <v>4503</v>
      </c>
      <c r="J470">
        <v>4</v>
      </c>
      <c r="K470" t="s">
        <v>322</v>
      </c>
      <c r="L470">
        <v>2022</v>
      </c>
      <c r="M470" t="s">
        <v>1229</v>
      </c>
      <c r="N470">
        <v>6949</v>
      </c>
      <c r="O470" t="s">
        <v>22</v>
      </c>
    </row>
    <row r="471" spans="1:15" x14ac:dyDescent="0.3">
      <c r="A471">
        <v>470</v>
      </c>
      <c r="B471" t="s">
        <v>1230</v>
      </c>
      <c r="C471" t="s">
        <v>212</v>
      </c>
      <c r="D471" t="s">
        <v>25</v>
      </c>
      <c r="E471" t="s">
        <v>73</v>
      </c>
      <c r="F471" t="s">
        <v>19</v>
      </c>
      <c r="G471">
        <v>10.220000000000001</v>
      </c>
      <c r="H471">
        <v>4.5</v>
      </c>
      <c r="I471">
        <v>4317</v>
      </c>
      <c r="J471">
        <v>4</v>
      </c>
      <c r="K471" t="s">
        <v>360</v>
      </c>
      <c r="L471">
        <v>2019</v>
      </c>
      <c r="M471" t="s">
        <v>1231</v>
      </c>
      <c r="N471">
        <v>1527</v>
      </c>
      <c r="O471" t="s">
        <v>22</v>
      </c>
    </row>
    <row r="472" spans="1:15" x14ac:dyDescent="0.3">
      <c r="A472">
        <v>471</v>
      </c>
      <c r="B472" t="s">
        <v>1232</v>
      </c>
      <c r="C472" t="s">
        <v>255</v>
      </c>
      <c r="D472" t="s">
        <v>25</v>
      </c>
      <c r="E472" t="s">
        <v>73</v>
      </c>
      <c r="F472" t="s">
        <v>19</v>
      </c>
      <c r="G472">
        <v>9.16</v>
      </c>
      <c r="H472">
        <v>4.2</v>
      </c>
      <c r="I472">
        <v>1888</v>
      </c>
      <c r="J472">
        <v>4</v>
      </c>
      <c r="K472" t="s">
        <v>303</v>
      </c>
      <c r="L472">
        <v>2021</v>
      </c>
      <c r="M472" t="s">
        <v>1233</v>
      </c>
      <c r="N472">
        <v>1454</v>
      </c>
      <c r="O472" t="s">
        <v>22</v>
      </c>
    </row>
    <row r="473" spans="1:15" x14ac:dyDescent="0.3">
      <c r="A473">
        <v>472</v>
      </c>
      <c r="B473" t="s">
        <v>1234</v>
      </c>
      <c r="C473" t="s">
        <v>219</v>
      </c>
      <c r="D473" t="s">
        <v>17</v>
      </c>
      <c r="E473" t="s">
        <v>96</v>
      </c>
      <c r="F473" t="s">
        <v>243</v>
      </c>
      <c r="G473">
        <v>33.75</v>
      </c>
      <c r="H473">
        <v>4.5999999999999996</v>
      </c>
      <c r="I473">
        <v>3847</v>
      </c>
      <c r="J473">
        <v>7</v>
      </c>
      <c r="K473" t="s">
        <v>353</v>
      </c>
      <c r="L473">
        <v>2023</v>
      </c>
      <c r="M473" t="s">
        <v>1235</v>
      </c>
      <c r="N473">
        <v>8600</v>
      </c>
      <c r="O473" t="s">
        <v>22</v>
      </c>
    </row>
    <row r="474" spans="1:15" x14ac:dyDescent="0.3">
      <c r="A474">
        <v>473</v>
      </c>
      <c r="B474" t="s">
        <v>1236</v>
      </c>
      <c r="C474" t="s">
        <v>668</v>
      </c>
      <c r="D474" t="s">
        <v>17</v>
      </c>
      <c r="E474" t="s">
        <v>334</v>
      </c>
      <c r="F474" t="s">
        <v>19</v>
      </c>
      <c r="G474">
        <v>14.92</v>
      </c>
      <c r="H474">
        <v>4.5</v>
      </c>
      <c r="I474">
        <v>151</v>
      </c>
      <c r="J474">
        <v>2</v>
      </c>
      <c r="K474" t="s">
        <v>303</v>
      </c>
      <c r="L474">
        <v>2020</v>
      </c>
      <c r="M474" t="s">
        <v>1237</v>
      </c>
      <c r="N474">
        <v>8217</v>
      </c>
      <c r="O474" t="s">
        <v>22</v>
      </c>
    </row>
    <row r="475" spans="1:15" x14ac:dyDescent="0.3">
      <c r="A475">
        <v>474</v>
      </c>
      <c r="B475" t="s">
        <v>1238</v>
      </c>
      <c r="C475" t="s">
        <v>514</v>
      </c>
      <c r="D475" t="s">
        <v>17</v>
      </c>
      <c r="E475" t="s">
        <v>334</v>
      </c>
      <c r="F475" t="s">
        <v>19</v>
      </c>
      <c r="G475">
        <v>9.57</v>
      </c>
      <c r="H475">
        <v>4</v>
      </c>
      <c r="I475">
        <v>1522</v>
      </c>
      <c r="J475">
        <v>5</v>
      </c>
      <c r="K475" t="s">
        <v>43</v>
      </c>
      <c r="L475">
        <v>2025</v>
      </c>
      <c r="M475" t="s">
        <v>1239</v>
      </c>
      <c r="N475">
        <v>3806</v>
      </c>
      <c r="O475" t="s">
        <v>22</v>
      </c>
    </row>
    <row r="476" spans="1:15" x14ac:dyDescent="0.3">
      <c r="A476">
        <v>475</v>
      </c>
      <c r="B476" t="s">
        <v>1240</v>
      </c>
      <c r="C476" t="s">
        <v>147</v>
      </c>
      <c r="D476" t="s">
        <v>25</v>
      </c>
      <c r="E476" t="s">
        <v>277</v>
      </c>
      <c r="F476" t="s">
        <v>260</v>
      </c>
      <c r="G476">
        <v>14.93</v>
      </c>
      <c r="H476">
        <v>4.4000000000000004</v>
      </c>
      <c r="I476">
        <v>2944</v>
      </c>
      <c r="J476">
        <v>9</v>
      </c>
      <c r="K476" t="s">
        <v>286</v>
      </c>
      <c r="L476">
        <v>2024</v>
      </c>
      <c r="M476" t="s">
        <v>1241</v>
      </c>
      <c r="N476">
        <v>9255</v>
      </c>
      <c r="O476" t="s">
        <v>22</v>
      </c>
    </row>
    <row r="477" spans="1:15" x14ac:dyDescent="0.3">
      <c r="A477">
        <v>476</v>
      </c>
      <c r="B477" t="s">
        <v>1242</v>
      </c>
      <c r="C477" t="s">
        <v>495</v>
      </c>
      <c r="D477" t="s">
        <v>17</v>
      </c>
      <c r="E477" t="s">
        <v>18</v>
      </c>
      <c r="F477" t="s">
        <v>247</v>
      </c>
      <c r="G477">
        <v>7</v>
      </c>
      <c r="H477">
        <v>4.4000000000000004</v>
      </c>
      <c r="I477">
        <v>3393</v>
      </c>
      <c r="J477">
        <v>15</v>
      </c>
      <c r="K477" t="s">
        <v>220</v>
      </c>
      <c r="L477">
        <v>2024</v>
      </c>
      <c r="M477" t="s">
        <v>1243</v>
      </c>
      <c r="N477">
        <v>6986</v>
      </c>
      <c r="O477" t="s">
        <v>22</v>
      </c>
    </row>
    <row r="478" spans="1:15" x14ac:dyDescent="0.3">
      <c r="A478">
        <v>477</v>
      </c>
      <c r="B478" t="s">
        <v>1244</v>
      </c>
      <c r="C478" t="s">
        <v>634</v>
      </c>
      <c r="D478" t="s">
        <v>25</v>
      </c>
      <c r="E478" t="s">
        <v>268</v>
      </c>
      <c r="F478" t="s">
        <v>247</v>
      </c>
      <c r="G478">
        <v>9.83</v>
      </c>
      <c r="H478">
        <v>5</v>
      </c>
      <c r="I478">
        <v>1889</v>
      </c>
      <c r="J478">
        <v>10</v>
      </c>
      <c r="K478" t="s">
        <v>353</v>
      </c>
      <c r="L478">
        <v>2022</v>
      </c>
      <c r="M478" t="s">
        <v>1245</v>
      </c>
      <c r="N478">
        <v>9600</v>
      </c>
      <c r="O478" t="s">
        <v>22</v>
      </c>
    </row>
    <row r="479" spans="1:15" x14ac:dyDescent="0.3">
      <c r="A479">
        <v>478</v>
      </c>
      <c r="B479" t="s">
        <v>1246</v>
      </c>
      <c r="C479" t="s">
        <v>325</v>
      </c>
      <c r="D479" t="s">
        <v>17</v>
      </c>
      <c r="E479" t="s">
        <v>58</v>
      </c>
      <c r="F479" t="s">
        <v>37</v>
      </c>
      <c r="G479">
        <v>26.72</v>
      </c>
      <c r="H479">
        <v>4.2</v>
      </c>
      <c r="I479">
        <v>995</v>
      </c>
      <c r="J479">
        <v>12</v>
      </c>
      <c r="K479" t="s">
        <v>386</v>
      </c>
      <c r="L479">
        <v>2018</v>
      </c>
      <c r="M479" t="s">
        <v>1247</v>
      </c>
      <c r="N479">
        <v>9240</v>
      </c>
      <c r="O479" t="s">
        <v>22</v>
      </c>
    </row>
    <row r="480" spans="1:15" x14ac:dyDescent="0.3">
      <c r="A480">
        <v>479</v>
      </c>
      <c r="B480" t="s">
        <v>1248</v>
      </c>
      <c r="C480" t="s">
        <v>671</v>
      </c>
      <c r="D480" t="s">
        <v>17</v>
      </c>
      <c r="E480" t="s">
        <v>299</v>
      </c>
      <c r="F480" t="s">
        <v>247</v>
      </c>
      <c r="G480">
        <v>7.06</v>
      </c>
      <c r="H480">
        <v>4.5999999999999996</v>
      </c>
      <c r="I480">
        <v>4187</v>
      </c>
      <c r="J480">
        <v>3</v>
      </c>
      <c r="K480" t="s">
        <v>792</v>
      </c>
      <c r="L480">
        <v>2023</v>
      </c>
      <c r="M480" t="s">
        <v>1249</v>
      </c>
      <c r="N480">
        <v>1212</v>
      </c>
      <c r="O480" t="s">
        <v>22</v>
      </c>
    </row>
    <row r="481" spans="1:15" x14ac:dyDescent="0.3">
      <c r="A481">
        <v>480</v>
      </c>
      <c r="B481" t="s">
        <v>1250</v>
      </c>
      <c r="C481" t="s">
        <v>1216</v>
      </c>
      <c r="D481" t="s">
        <v>17</v>
      </c>
      <c r="E481" t="s">
        <v>311</v>
      </c>
      <c r="F481" t="s">
        <v>243</v>
      </c>
      <c r="G481">
        <v>33.08</v>
      </c>
      <c r="H481">
        <v>4.5999999999999996</v>
      </c>
      <c r="I481">
        <v>2952</v>
      </c>
      <c r="J481">
        <v>3</v>
      </c>
      <c r="K481" t="s">
        <v>360</v>
      </c>
      <c r="L481">
        <v>2021</v>
      </c>
      <c r="M481" t="s">
        <v>1251</v>
      </c>
      <c r="N481">
        <v>6475</v>
      </c>
      <c r="O481" t="s">
        <v>22</v>
      </c>
    </row>
    <row r="482" spans="1:15" x14ac:dyDescent="0.3">
      <c r="A482">
        <v>481</v>
      </c>
      <c r="B482" t="s">
        <v>1252</v>
      </c>
      <c r="C482" t="s">
        <v>76</v>
      </c>
      <c r="D482" t="s">
        <v>25</v>
      </c>
      <c r="E482" t="s">
        <v>296</v>
      </c>
      <c r="F482" t="s">
        <v>247</v>
      </c>
      <c r="G482">
        <v>12.24</v>
      </c>
      <c r="H482">
        <v>4.5</v>
      </c>
      <c r="I482">
        <v>113</v>
      </c>
      <c r="J482">
        <v>10</v>
      </c>
      <c r="K482" t="s">
        <v>326</v>
      </c>
      <c r="L482">
        <v>2023</v>
      </c>
      <c r="M482" t="s">
        <v>1253</v>
      </c>
      <c r="N482">
        <v>3857</v>
      </c>
      <c r="O482" t="s">
        <v>22</v>
      </c>
    </row>
    <row r="483" spans="1:15" x14ac:dyDescent="0.3">
      <c r="A483">
        <v>482</v>
      </c>
      <c r="B483" t="s">
        <v>1254</v>
      </c>
      <c r="C483" t="s">
        <v>910</v>
      </c>
      <c r="D483" t="s">
        <v>25</v>
      </c>
      <c r="E483" t="s">
        <v>228</v>
      </c>
      <c r="F483" t="s">
        <v>19</v>
      </c>
      <c r="G483">
        <v>15.81</v>
      </c>
      <c r="H483">
        <v>4.4000000000000004</v>
      </c>
      <c r="I483">
        <v>1223</v>
      </c>
      <c r="J483">
        <v>1</v>
      </c>
      <c r="K483" t="s">
        <v>322</v>
      </c>
      <c r="L483">
        <v>2025</v>
      </c>
      <c r="M483" t="s">
        <v>1255</v>
      </c>
      <c r="N483">
        <v>6114</v>
      </c>
      <c r="O483" t="s">
        <v>22</v>
      </c>
    </row>
    <row r="484" spans="1:15" x14ac:dyDescent="0.3">
      <c r="A484">
        <v>483</v>
      </c>
      <c r="B484" t="s">
        <v>1256</v>
      </c>
      <c r="C484" t="s">
        <v>1257</v>
      </c>
      <c r="D484" t="s">
        <v>25</v>
      </c>
      <c r="E484" t="s">
        <v>277</v>
      </c>
      <c r="F484" t="s">
        <v>19</v>
      </c>
      <c r="G484">
        <v>9.85</v>
      </c>
      <c r="H484">
        <v>4.0999999999999996</v>
      </c>
      <c r="I484">
        <v>1433</v>
      </c>
      <c r="J484">
        <v>1</v>
      </c>
      <c r="K484" t="s">
        <v>426</v>
      </c>
      <c r="L484">
        <v>2023</v>
      </c>
      <c r="M484" t="s">
        <v>1258</v>
      </c>
      <c r="N484">
        <v>1075</v>
      </c>
      <c r="O484" t="s">
        <v>22</v>
      </c>
    </row>
    <row r="485" spans="1:15" x14ac:dyDescent="0.3">
      <c r="A485">
        <v>484</v>
      </c>
      <c r="B485" t="s">
        <v>1259</v>
      </c>
      <c r="C485" t="s">
        <v>450</v>
      </c>
      <c r="D485" t="s">
        <v>17</v>
      </c>
      <c r="E485" t="s">
        <v>224</v>
      </c>
      <c r="F485" t="s">
        <v>37</v>
      </c>
      <c r="G485">
        <v>18.12</v>
      </c>
      <c r="H485">
        <v>4.3</v>
      </c>
      <c r="I485">
        <v>1170</v>
      </c>
      <c r="J485">
        <v>5</v>
      </c>
      <c r="K485" t="s">
        <v>48</v>
      </c>
      <c r="L485">
        <v>2024</v>
      </c>
      <c r="M485" t="s">
        <v>1260</v>
      </c>
      <c r="N485">
        <v>2186</v>
      </c>
      <c r="O485" t="s">
        <v>22</v>
      </c>
    </row>
    <row r="486" spans="1:15" x14ac:dyDescent="0.3">
      <c r="A486">
        <v>485</v>
      </c>
      <c r="B486" t="s">
        <v>1261</v>
      </c>
      <c r="C486" t="s">
        <v>394</v>
      </c>
      <c r="D486" t="s">
        <v>25</v>
      </c>
      <c r="E486" t="s">
        <v>409</v>
      </c>
      <c r="F486" t="s">
        <v>37</v>
      </c>
      <c r="G486">
        <v>28.4</v>
      </c>
      <c r="H486">
        <v>4.7</v>
      </c>
      <c r="I486">
        <v>115</v>
      </c>
      <c r="J486">
        <v>4</v>
      </c>
      <c r="K486" t="s">
        <v>127</v>
      </c>
      <c r="L486">
        <v>2016</v>
      </c>
      <c r="M486" t="s">
        <v>1262</v>
      </c>
      <c r="N486">
        <v>8672</v>
      </c>
      <c r="O486" t="s">
        <v>22</v>
      </c>
    </row>
    <row r="487" spans="1:15" x14ac:dyDescent="0.3">
      <c r="A487">
        <v>486</v>
      </c>
      <c r="B487" t="s">
        <v>1263</v>
      </c>
      <c r="C487" t="s">
        <v>731</v>
      </c>
      <c r="D487" t="s">
        <v>17</v>
      </c>
      <c r="E487" t="s">
        <v>184</v>
      </c>
      <c r="F487" t="s">
        <v>19</v>
      </c>
      <c r="G487">
        <v>10.59</v>
      </c>
      <c r="H487">
        <v>4.5</v>
      </c>
      <c r="I487">
        <v>3475</v>
      </c>
      <c r="J487">
        <v>12</v>
      </c>
      <c r="K487" t="s">
        <v>127</v>
      </c>
      <c r="L487">
        <v>2019</v>
      </c>
      <c r="M487" t="s">
        <v>1264</v>
      </c>
      <c r="N487">
        <v>8905</v>
      </c>
      <c r="O487" t="s">
        <v>22</v>
      </c>
    </row>
    <row r="488" spans="1:15" x14ac:dyDescent="0.3">
      <c r="A488">
        <v>487</v>
      </c>
      <c r="B488" t="s">
        <v>1265</v>
      </c>
      <c r="C488" t="s">
        <v>831</v>
      </c>
      <c r="D488" t="s">
        <v>25</v>
      </c>
      <c r="E488" t="s">
        <v>277</v>
      </c>
      <c r="F488" t="s">
        <v>260</v>
      </c>
      <c r="G488">
        <v>14.27</v>
      </c>
      <c r="H488">
        <v>4.4000000000000004</v>
      </c>
      <c r="I488">
        <v>3713</v>
      </c>
      <c r="J488">
        <v>6</v>
      </c>
      <c r="K488" t="s">
        <v>196</v>
      </c>
      <c r="L488">
        <v>2018</v>
      </c>
      <c r="M488" t="s">
        <v>1266</v>
      </c>
      <c r="N488">
        <v>2834</v>
      </c>
      <c r="O488" t="s">
        <v>22</v>
      </c>
    </row>
    <row r="489" spans="1:15" x14ac:dyDescent="0.3">
      <c r="A489">
        <v>488</v>
      </c>
      <c r="B489" t="s">
        <v>1267</v>
      </c>
      <c r="C489" t="s">
        <v>394</v>
      </c>
      <c r="D489" t="s">
        <v>25</v>
      </c>
      <c r="E489" t="s">
        <v>31</v>
      </c>
      <c r="F489" t="s">
        <v>247</v>
      </c>
      <c r="G489">
        <v>6.34</v>
      </c>
      <c r="H489">
        <v>4.0999999999999996</v>
      </c>
      <c r="I489">
        <v>2651</v>
      </c>
      <c r="J489">
        <v>7</v>
      </c>
      <c r="K489" t="s">
        <v>200</v>
      </c>
      <c r="L489">
        <v>2021</v>
      </c>
      <c r="M489" t="s">
        <v>1268</v>
      </c>
      <c r="N489">
        <v>5372</v>
      </c>
      <c r="O489" t="s">
        <v>22</v>
      </c>
    </row>
    <row r="490" spans="1:15" x14ac:dyDescent="0.3">
      <c r="A490">
        <v>489</v>
      </c>
      <c r="B490" t="s">
        <v>1269</v>
      </c>
      <c r="C490" t="s">
        <v>530</v>
      </c>
      <c r="D490" t="s">
        <v>25</v>
      </c>
      <c r="E490" t="s">
        <v>359</v>
      </c>
      <c r="F490" t="s">
        <v>37</v>
      </c>
      <c r="G490">
        <v>29.34</v>
      </c>
      <c r="H490">
        <v>4.5999999999999996</v>
      </c>
      <c r="I490">
        <v>2780</v>
      </c>
      <c r="J490">
        <v>15</v>
      </c>
      <c r="K490" t="s">
        <v>470</v>
      </c>
      <c r="L490">
        <v>2020</v>
      </c>
      <c r="M490" t="s">
        <v>1270</v>
      </c>
      <c r="N490">
        <v>9475</v>
      </c>
      <c r="O490" t="s">
        <v>22</v>
      </c>
    </row>
    <row r="491" spans="1:15" x14ac:dyDescent="0.3">
      <c r="A491">
        <v>490</v>
      </c>
      <c r="B491" t="s">
        <v>1271</v>
      </c>
      <c r="C491" t="s">
        <v>707</v>
      </c>
      <c r="D491" t="s">
        <v>17</v>
      </c>
      <c r="E491" t="s">
        <v>184</v>
      </c>
      <c r="F491" t="s">
        <v>243</v>
      </c>
      <c r="G491">
        <v>15.71</v>
      </c>
      <c r="H491">
        <v>4.4000000000000004</v>
      </c>
      <c r="I491">
        <v>214</v>
      </c>
      <c r="J491">
        <v>13</v>
      </c>
      <c r="K491" t="s">
        <v>92</v>
      </c>
      <c r="L491">
        <v>2026</v>
      </c>
      <c r="M491" t="s">
        <v>1272</v>
      </c>
      <c r="N491">
        <v>1672</v>
      </c>
      <c r="O491" t="s">
        <v>22</v>
      </c>
    </row>
    <row r="492" spans="1:15" x14ac:dyDescent="0.3">
      <c r="A492">
        <v>491</v>
      </c>
      <c r="B492" t="s">
        <v>1273</v>
      </c>
      <c r="C492" t="s">
        <v>208</v>
      </c>
      <c r="D492" t="s">
        <v>25</v>
      </c>
      <c r="E492" t="s">
        <v>285</v>
      </c>
      <c r="F492" t="s">
        <v>37</v>
      </c>
      <c r="G492">
        <v>26.14</v>
      </c>
      <c r="H492">
        <v>4.4000000000000004</v>
      </c>
      <c r="I492">
        <v>4487</v>
      </c>
      <c r="J492">
        <v>10</v>
      </c>
      <c r="K492" t="s">
        <v>92</v>
      </c>
      <c r="L492">
        <v>2026</v>
      </c>
      <c r="M492" t="s">
        <v>1274</v>
      </c>
      <c r="N492">
        <v>6096</v>
      </c>
      <c r="O492" t="s">
        <v>22</v>
      </c>
    </row>
    <row r="493" spans="1:15" x14ac:dyDescent="0.3">
      <c r="A493">
        <v>492</v>
      </c>
      <c r="B493" t="s">
        <v>1275</v>
      </c>
      <c r="C493" t="s">
        <v>235</v>
      </c>
      <c r="D493" t="s">
        <v>17</v>
      </c>
      <c r="E493" t="s">
        <v>568</v>
      </c>
      <c r="F493" t="s">
        <v>19</v>
      </c>
      <c r="G493">
        <v>12.65</v>
      </c>
      <c r="H493">
        <v>4.3</v>
      </c>
      <c r="I493">
        <v>2331</v>
      </c>
      <c r="J493">
        <v>8</v>
      </c>
      <c r="K493" t="s">
        <v>261</v>
      </c>
      <c r="L493">
        <v>2019</v>
      </c>
      <c r="M493" t="s">
        <v>1276</v>
      </c>
      <c r="N493">
        <v>1266</v>
      </c>
      <c r="O493" t="s">
        <v>22</v>
      </c>
    </row>
    <row r="494" spans="1:15" x14ac:dyDescent="0.3">
      <c r="A494">
        <v>493</v>
      </c>
      <c r="B494" t="s">
        <v>1277</v>
      </c>
      <c r="C494" t="s">
        <v>590</v>
      </c>
      <c r="D494" t="s">
        <v>17</v>
      </c>
      <c r="E494" t="s">
        <v>86</v>
      </c>
      <c r="F494" t="s">
        <v>37</v>
      </c>
      <c r="G494">
        <v>21.31</v>
      </c>
      <c r="H494">
        <v>4.5999999999999996</v>
      </c>
      <c r="I494">
        <v>831</v>
      </c>
      <c r="J494">
        <v>9</v>
      </c>
      <c r="K494" t="s">
        <v>271</v>
      </c>
      <c r="L494">
        <v>2017</v>
      </c>
      <c r="M494" t="s">
        <v>1278</v>
      </c>
      <c r="N494">
        <v>7591</v>
      </c>
      <c r="O494" t="s">
        <v>22</v>
      </c>
    </row>
    <row r="495" spans="1:15" x14ac:dyDescent="0.3">
      <c r="A495">
        <v>494</v>
      </c>
      <c r="B495" t="s">
        <v>1279</v>
      </c>
      <c r="C495" t="s">
        <v>489</v>
      </c>
      <c r="D495" t="s">
        <v>17</v>
      </c>
      <c r="E495" t="s">
        <v>86</v>
      </c>
      <c r="F495" t="s">
        <v>37</v>
      </c>
      <c r="G495">
        <v>17.059999999999999</v>
      </c>
      <c r="H495">
        <v>3.8</v>
      </c>
      <c r="I495">
        <v>1763</v>
      </c>
      <c r="J495">
        <v>13</v>
      </c>
      <c r="K495" t="s">
        <v>271</v>
      </c>
      <c r="L495">
        <v>2023</v>
      </c>
      <c r="M495" t="s">
        <v>1280</v>
      </c>
      <c r="N495">
        <v>6260</v>
      </c>
      <c r="O495" t="s">
        <v>22</v>
      </c>
    </row>
    <row r="496" spans="1:15" x14ac:dyDescent="0.3">
      <c r="A496">
        <v>495</v>
      </c>
      <c r="B496" t="s">
        <v>1281</v>
      </c>
      <c r="C496" t="s">
        <v>932</v>
      </c>
      <c r="D496" t="s">
        <v>25</v>
      </c>
      <c r="E496" t="s">
        <v>91</v>
      </c>
      <c r="F496" t="s">
        <v>19</v>
      </c>
      <c r="G496">
        <v>16.82</v>
      </c>
      <c r="H496">
        <v>4.8</v>
      </c>
      <c r="I496">
        <v>4106</v>
      </c>
      <c r="J496">
        <v>3</v>
      </c>
      <c r="K496" t="s">
        <v>345</v>
      </c>
      <c r="L496">
        <v>2024</v>
      </c>
      <c r="M496" t="s">
        <v>1282</v>
      </c>
      <c r="N496">
        <v>7840</v>
      </c>
      <c r="O496" t="s">
        <v>22</v>
      </c>
    </row>
    <row r="497" spans="1:15" x14ac:dyDescent="0.3">
      <c r="A497">
        <v>496</v>
      </c>
      <c r="B497" t="s">
        <v>1283</v>
      </c>
      <c r="C497" t="s">
        <v>255</v>
      </c>
      <c r="D497" t="s">
        <v>25</v>
      </c>
      <c r="E497" t="s">
        <v>105</v>
      </c>
      <c r="F497" t="s">
        <v>260</v>
      </c>
      <c r="G497">
        <v>10.59</v>
      </c>
      <c r="H497">
        <v>4.7</v>
      </c>
      <c r="I497">
        <v>2108</v>
      </c>
      <c r="J497">
        <v>8</v>
      </c>
      <c r="K497" t="s">
        <v>54</v>
      </c>
      <c r="L497">
        <v>2022</v>
      </c>
      <c r="M497" t="s">
        <v>1284</v>
      </c>
      <c r="N497">
        <v>1152</v>
      </c>
      <c r="O497" t="s">
        <v>22</v>
      </c>
    </row>
    <row r="498" spans="1:15" x14ac:dyDescent="0.3">
      <c r="A498">
        <v>497</v>
      </c>
      <c r="B498" t="s">
        <v>1285</v>
      </c>
      <c r="C498" t="s">
        <v>147</v>
      </c>
      <c r="D498" t="s">
        <v>25</v>
      </c>
      <c r="E498" t="s">
        <v>36</v>
      </c>
      <c r="F498" t="s">
        <v>37</v>
      </c>
      <c r="G498">
        <v>24.72</v>
      </c>
      <c r="H498">
        <v>4.7</v>
      </c>
      <c r="I498">
        <v>1901</v>
      </c>
      <c r="J498">
        <v>6</v>
      </c>
      <c r="K498" t="s">
        <v>160</v>
      </c>
      <c r="L498">
        <v>2024</v>
      </c>
      <c r="M498" t="s">
        <v>1286</v>
      </c>
      <c r="N498">
        <v>6003</v>
      </c>
      <c r="O498" t="s">
        <v>22</v>
      </c>
    </row>
    <row r="499" spans="1:15" x14ac:dyDescent="0.3">
      <c r="A499">
        <v>498</v>
      </c>
      <c r="B499" t="s">
        <v>1287</v>
      </c>
      <c r="C499" t="s">
        <v>590</v>
      </c>
      <c r="D499" t="s">
        <v>17</v>
      </c>
      <c r="E499" t="s">
        <v>86</v>
      </c>
      <c r="F499" t="s">
        <v>19</v>
      </c>
      <c r="G499">
        <v>13.69</v>
      </c>
      <c r="H499">
        <v>4.5</v>
      </c>
      <c r="I499">
        <v>3187</v>
      </c>
      <c r="J499">
        <v>6</v>
      </c>
      <c r="K499" t="s">
        <v>640</v>
      </c>
      <c r="L499">
        <v>2023</v>
      </c>
      <c r="M499" t="s">
        <v>1288</v>
      </c>
      <c r="N499">
        <v>8752</v>
      </c>
      <c r="O499" t="s">
        <v>22</v>
      </c>
    </row>
    <row r="500" spans="1:15" x14ac:dyDescent="0.3">
      <c r="A500">
        <v>499</v>
      </c>
      <c r="B500" t="s">
        <v>1289</v>
      </c>
      <c r="C500" t="s">
        <v>826</v>
      </c>
      <c r="D500" t="s">
        <v>25</v>
      </c>
      <c r="E500" t="s">
        <v>359</v>
      </c>
      <c r="F500" t="s">
        <v>247</v>
      </c>
      <c r="G500">
        <v>7.82</v>
      </c>
      <c r="H500">
        <v>4.2</v>
      </c>
      <c r="I500">
        <v>1010</v>
      </c>
      <c r="J500">
        <v>4</v>
      </c>
      <c r="K500" t="s">
        <v>127</v>
      </c>
      <c r="L500">
        <v>2023</v>
      </c>
      <c r="M500" t="s">
        <v>1290</v>
      </c>
      <c r="N500">
        <v>9550</v>
      </c>
      <c r="O500" t="s">
        <v>22</v>
      </c>
    </row>
    <row r="501" spans="1:15" x14ac:dyDescent="0.3">
      <c r="A501">
        <v>500</v>
      </c>
      <c r="B501" t="s">
        <v>1291</v>
      </c>
      <c r="C501" t="s">
        <v>450</v>
      </c>
      <c r="D501" t="s">
        <v>17</v>
      </c>
      <c r="E501" t="s">
        <v>184</v>
      </c>
      <c r="F501" t="s">
        <v>37</v>
      </c>
      <c r="G501">
        <v>19.3</v>
      </c>
      <c r="H501">
        <v>4.4000000000000004</v>
      </c>
      <c r="I501">
        <v>3045</v>
      </c>
      <c r="J501">
        <v>14</v>
      </c>
      <c r="K501" t="s">
        <v>303</v>
      </c>
      <c r="L501">
        <v>2022</v>
      </c>
      <c r="M501" t="s">
        <v>1292</v>
      </c>
      <c r="N501">
        <v>4129</v>
      </c>
      <c r="O50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AF1B-8FE4-4496-AE79-110F3D1FF725}">
  <dimension ref="AH6"/>
  <sheetViews>
    <sheetView showGridLines="0" showRowColHeaders="0" tabSelected="1" topLeftCell="J1" zoomScale="81" workbookViewId="0">
      <selection activeCell="AI13" sqref="AI13"/>
    </sheetView>
  </sheetViews>
  <sheetFormatPr defaultRowHeight="14.4" x14ac:dyDescent="0.3"/>
  <sheetData>
    <row r="6" spans="34:34" x14ac:dyDescent="0.3">
      <c r="AH6" t="s">
        <v>1303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Amazon_BestSelling_Books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</dc:creator>
  <cp:lastModifiedBy>manish kumar</cp:lastModifiedBy>
  <dcterms:created xsi:type="dcterms:W3CDTF">2026-05-26T11:23:35Z</dcterms:created>
  <dcterms:modified xsi:type="dcterms:W3CDTF">2026-05-28T14:08:43Z</dcterms:modified>
</cp:coreProperties>
</file>